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Fixed Costs" sheetId="2" state="visible" r:id="rId2"/>
    <sheet xmlns:r="http://schemas.openxmlformats.org/officeDocument/2006/relationships" name="Profitability" sheetId="3" state="visible" r:id="rId3"/>
    <sheet xmlns:r="http://schemas.openxmlformats.org/officeDocument/2006/relationships" name="API Capacity" sheetId="4" state="visible" r:id="rId4"/>
    <sheet xmlns:r="http://schemas.openxmlformats.org/officeDocument/2006/relationships" name="Sensitivity" sheetId="5" state="visible" r:id="rId5"/>
    <sheet xmlns:r="http://schemas.openxmlformats.org/officeDocument/2006/relationships" name="12-Month Projection" sheetId="6" state="visible" r:id="rId6"/>
    <sheet xmlns:r="http://schemas.openxmlformats.org/officeDocument/2006/relationships" name="3-Year Projection" sheetId="7" state="visible" r:id="rId7"/>
    <sheet xmlns:r="http://schemas.openxmlformats.org/officeDocument/2006/relationships" name="Risks &amp; Optimiz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0"/>
    <numFmt numFmtId="165" formatCode="0.0%"/>
    <numFmt numFmtId="166" formatCode="0.0"/>
    <numFmt numFmtId="167" formatCode="$0.000"/>
    <numFmt numFmtId="168" formatCode="$#,##0.00;[Red]($#,##0.00)"/>
  </numFmts>
  <fonts count="15">
    <font>
      <name val="Calibri"/>
      <family val="2"/>
      <color theme="1"/>
      <sz val="11"/>
      <scheme val="minor"/>
    </font>
    <font>
      <name val="Calibri"/>
      <b val="1"/>
      <color rgb="003B82F6"/>
      <sz val="18"/>
    </font>
    <font>
      <name val="Calibri"/>
      <color rgb="0094A3B8"/>
      <sz val="12"/>
    </font>
    <font>
      <name val="Calibri"/>
      <color rgb="0094A3B8"/>
      <sz val="10"/>
    </font>
    <font>
      <name val="Calibri"/>
      <b val="1"/>
      <color rgb="00EF4444"/>
      <sz val="16"/>
    </font>
    <font>
      <name val="Calibri"/>
      <b val="1"/>
      <color rgb="003B82F6"/>
      <sz val="16"/>
    </font>
    <font>
      <name val="Calibri"/>
      <b val="1"/>
      <color rgb="0022C55E"/>
      <sz val="16"/>
    </font>
    <font>
      <name val="Calibri"/>
      <b val="1"/>
      <color rgb="00F59E0B"/>
      <sz val="16"/>
    </font>
    <font>
      <name val="Calibri"/>
      <b val="1"/>
      <color rgb="001A2332"/>
      <sz val="12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name val="Calibri"/>
      <b val="1"/>
      <color rgb="003B82F6"/>
      <sz val="14"/>
    </font>
    <font>
      <name val="Calibri"/>
      <b val="1"/>
      <color rgb="00EF4444"/>
      <sz val="11"/>
    </font>
    <font>
      <name val="Calibri"/>
      <b val="1"/>
      <color rgb="0022C55E"/>
      <sz val="11"/>
    </font>
  </fonts>
  <fills count="9">
    <fill>
      <patternFill/>
    </fill>
    <fill>
      <patternFill patternType="gray125"/>
    </fill>
    <fill>
      <patternFill patternType="solid">
        <fgColor rgb="001A2332"/>
        <bgColor rgb="001A2332"/>
      </patternFill>
    </fill>
    <fill>
      <patternFill patternType="solid">
        <fgColor rgb="00F8FAFC"/>
        <bgColor rgb="00F8FAFC"/>
      </patternFill>
    </fill>
    <fill>
      <patternFill patternType="solid">
        <fgColor rgb="00F1F5F9"/>
        <bgColor rgb="00F1F5F9"/>
      </patternFill>
    </fill>
    <fill>
      <patternFill patternType="solid">
        <fgColor rgb="00DCFCE7"/>
        <bgColor rgb="00DCFCE7"/>
      </patternFill>
    </fill>
    <fill>
      <patternFill patternType="solid">
        <fgColor rgb="00FEF3C7"/>
        <bgColor rgb="00FEF3C7"/>
      </patternFill>
    </fill>
    <fill>
      <patternFill patternType="solid">
        <fgColor rgb="00FEE2E2"/>
        <bgColor rgb="00FEE2E2"/>
      </patternFill>
    </fill>
    <fill>
      <patternFill patternType="solid">
        <fgColor rgb="00DBEAFE"/>
        <bgColor rgb="00DBEAFE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double">
        <color rgb="001A2332"/>
      </top>
      <bottom style="double">
        <color rgb="001A2332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8" fillId="0" borderId="0" pivotButton="0" quotePrefix="0" xfId="0"/>
    <xf numFmtId="0" fontId="9" fillId="2" borderId="1" applyAlignment="1" pivotButton="0" quotePrefix="0" xfId="0">
      <alignment horizontal="center" vertical="center" wrapText="1"/>
    </xf>
    <xf numFmtId="0" fontId="10" fillId="0" borderId="1" pivotButton="0" quotePrefix="0" xfId="0"/>
    <xf numFmtId="164" fontId="10" fillId="0" borderId="1" pivotButton="0" quotePrefix="0" xfId="0"/>
    <xf numFmtId="0" fontId="10" fillId="3" borderId="1" pivotButton="0" quotePrefix="0" xfId="0"/>
    <xf numFmtId="164" fontId="10" fillId="3" borderId="1" pivotButton="0" quotePrefix="0" xfId="0"/>
    <xf numFmtId="165" fontId="10" fillId="3" borderId="1" pivotButton="0" quotePrefix="0" xfId="0"/>
    <xf numFmtId="165" fontId="10" fillId="0" borderId="1" pivotButton="0" quotePrefix="0" xfId="0"/>
    <xf numFmtId="0" fontId="11" fillId="4" borderId="2" pivotButton="0" quotePrefix="0" xfId="0"/>
    <xf numFmtId="165" fontId="11" fillId="4" borderId="2" pivotButton="0" quotePrefix="0" xfId="0"/>
    <xf numFmtId="164" fontId="11" fillId="4" borderId="2" pivotButton="0" quotePrefix="0" xfId="0"/>
    <xf numFmtId="0" fontId="12" fillId="0" borderId="0" pivotButton="0" quotePrefix="0" xfId="0"/>
    <xf numFmtId="0" fontId="3" fillId="0" borderId="0" pivotButton="0" quotePrefix="0" xfId="0"/>
    <xf numFmtId="164" fontId="11" fillId="0" borderId="0" pivotButton="0" quotePrefix="0" xfId="0"/>
    <xf numFmtId="165" fontId="11" fillId="0" borderId="0" pivotButton="0" quotePrefix="0" xfId="0"/>
    <xf numFmtId="3" fontId="11" fillId="0" borderId="0" pivotButton="0" quotePrefix="0" xfId="0"/>
    <xf numFmtId="166" fontId="11" fillId="0" borderId="0" pivotButton="0" quotePrefix="0" xfId="0"/>
    <xf numFmtId="167" fontId="11" fillId="0" borderId="0" pivotButton="0" quotePrefix="0" xfId="0"/>
    <xf numFmtId="3" fontId="10" fillId="0" borderId="1" pivotButton="0" quotePrefix="0" xfId="0"/>
    <xf numFmtId="168" fontId="13" fillId="0" borderId="1" pivotButton="0" quotePrefix="0" xfId="0"/>
    <xf numFmtId="3" fontId="10" fillId="3" borderId="1" pivotButton="0" quotePrefix="0" xfId="0"/>
    <xf numFmtId="168" fontId="13" fillId="3" borderId="1" pivotButton="0" quotePrefix="0" xfId="0"/>
    <xf numFmtId="168" fontId="14" fillId="3" borderId="1" pivotButton="0" quotePrefix="0" xfId="0"/>
    <xf numFmtId="168" fontId="14" fillId="0" borderId="1" pivotButton="0" quotePrefix="0" xfId="0"/>
    <xf numFmtId="0" fontId="10" fillId="5" borderId="1" pivotButton="0" quotePrefix="0" xfId="0"/>
    <xf numFmtId="0" fontId="10" fillId="6" borderId="1" pivotButton="0" quotePrefix="0" xfId="0"/>
    <xf numFmtId="0" fontId="13" fillId="7" borderId="1" pivotButton="0" quotePrefix="0" xfId="0"/>
    <xf numFmtId="164" fontId="11" fillId="8" borderId="1" pivotButton="0" quotePrefix="0" xfId="0"/>
    <xf numFmtId="0" fontId="11" fillId="8" borderId="1" pivotButton="0" quotePrefix="0" xfId="0"/>
    <xf numFmtId="166" fontId="10" fillId="0" borderId="1" pivotButton="0" quotePrefix="0" xfId="0"/>
    <xf numFmtId="166" fontId="10" fillId="3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1" fillId="0" borderId="1" pivotButton="0" quotePrefix="0" xfId="0"/>
    <xf numFmtId="3" fontId="11" fillId="0" borderId="1" pivotButton="0" quotePrefix="0" xfId="0"/>
    <xf numFmtId="164" fontId="0" fillId="0" borderId="1" pivotButton="0" quotePrefix="0" xfId="0"/>
    <xf numFmtId="164" fontId="11" fillId="0" borderId="1" pivotButton="0" quotePrefix="0" xfId="0"/>
    <xf numFmtId="168" fontId="11" fillId="0" borderId="1" pivotButton="0" quotePrefix="0" xfId="0"/>
    <xf numFmtId="165" fontId="0" fillId="0" borderId="1" pivotButton="0" quotePrefix="0" xfId="0"/>
    <xf numFmtId="168" fontId="10" fillId="0" borderId="1" pivotButton="0" quotePrefix="0" xfId="0"/>
    <xf numFmtId="168" fontId="10" fillId="3" borderId="1" pivotButton="0" quotePrefix="0" xfId="0"/>
    <xf numFmtId="168" fontId="11" fillId="4" borderId="2" pivotButton="0" quotePrefix="0" xfId="0"/>
    <xf numFmtId="168" fontId="14" fillId="4" borderId="2" pivotButton="0" quotePrefix="0" xfId="0"/>
    <xf numFmtId="0" fontId="10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Profit/Loss by Subscriber Count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'Profitability'!I15</f>
            </strRef>
          </tx>
          <spPr>
            <a:ln xmlns:a="http://schemas.openxmlformats.org/drawingml/2006/main">
              <a:prstDash val="solid"/>
            </a:ln>
          </spPr>
          <cat>
            <numRef>
              <f>'Profitability'!$A$16:$A$32</f>
            </numRef>
          </cat>
          <val>
            <numRef>
              <f>'Profitability'!$I$16:$I$32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Paid Subscribers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/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Operating Margin %</a:t>
            </a:r>
          </a:p>
        </rich>
      </tx>
    </title>
    <plotArea>
      <lineChart>
        <grouping val="standard"/>
        <ser>
          <idx val="0"/>
          <order val="0"/>
          <tx>
            <strRef>
              <f>'Profitability'!J15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'Profitability'!$A$16:$A$32</f>
            </numRef>
          </cat>
          <val>
            <numRef>
              <f>'Profitability'!$J$16:$J$32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Paid Subscribers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Margin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Subscriber Growth &amp; Profitability</a:t>
            </a:r>
          </a:p>
        </rich>
      </tx>
    </title>
    <plotArea>
      <lineChart>
        <grouping val="standard"/>
        <ser>
          <idx val="0"/>
          <order val="0"/>
          <tx>
            <strRef>
              <f>'12-Month Projection'!A11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'12-Month Projection'!$B$8:$M$8</f>
            </numRef>
          </cat>
          <val>
            <numRef>
              <f>'12-Month Projection'!$B$11:$M$11</f>
            </numRef>
          </val>
        </ser>
        <ser>
          <idx val="1"/>
          <order val="1"/>
          <tx>
            <strRef>
              <f>'12-Month Projection'!A19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'12-Month Projection'!$B$8:$M$8</f>
            </numRef>
          </cat>
          <val>
            <numRef>
              <f>'12-Month Projection'!$B$19:$M$19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 / 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34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51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23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3B82F6"/>
    <outlinePr summaryBelow="1" summaryRight="1"/>
    <pageSetUpPr/>
  </sheetPr>
  <dimension ref="A1:F2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9" customWidth="1" min="2" max="2"/>
    <col width="24" customWidth="1" min="3" max="3"/>
    <col width="24" customWidth="1" min="4" max="4"/>
    <col width="22" customWidth="1" min="5" max="5"/>
    <col width="12" customWidth="1" min="6" max="6"/>
  </cols>
  <sheetData>
    <row r="1">
      <c r="A1" s="1" t="inlineStr">
        <is>
          <t>DealGap IQ — Financial Proforma</t>
        </is>
      </c>
    </row>
    <row r="2">
      <c r="A2" s="2" t="inlineStr">
        <is>
          <t>Breakeven &amp; Profitability Analysis  |  April 2026</t>
        </is>
      </c>
    </row>
    <row r="3"/>
    <row r="4">
      <c r="A4" s="3" t="inlineStr">
        <is>
          <t>Monthly Burn (0 subs)</t>
        </is>
      </c>
      <c r="C4" s="3" t="inlineStr">
        <is>
          <t>Breakeven Subscribers</t>
        </is>
      </c>
      <c r="E4" s="3" t="inlineStr">
        <is>
          <t>Blended Net ARPU</t>
        </is>
      </c>
    </row>
    <row r="5">
      <c r="A5" s="4" t="inlineStr">
        <is>
          <t>$386.83</t>
        </is>
      </c>
      <c r="C5" s="5" t="inlineStr">
        <is>
          <t>12 Pro</t>
        </is>
      </c>
      <c r="E5" s="6" t="inlineStr">
        <is>
          <t>$34.12/mo</t>
        </is>
      </c>
    </row>
    <row r="6"/>
    <row r="7">
      <c r="A7" s="3" t="inlineStr">
        <is>
          <t>Margin @ 100 Subs</t>
        </is>
      </c>
      <c r="C7" s="3" t="inlineStr">
        <is>
          <t>Primary Cost Driver</t>
        </is>
      </c>
      <c r="E7" s="3" t="inlineStr">
        <is>
          <t>First Scale Trigger</t>
        </is>
      </c>
    </row>
    <row r="8">
      <c r="A8" s="6" t="inlineStr">
        <is>
          <t>88%</t>
        </is>
      </c>
      <c r="C8" s="7" t="inlineStr">
        <is>
          <t>RentCast (51%)</t>
        </is>
      </c>
      <c r="E8" s="7" t="inlineStr">
        <is>
          <t>~80–200 subs</t>
        </is>
      </c>
    </row>
    <row r="9"/>
    <row r="10"/>
    <row r="11">
      <c r="A11" s="8" t="inlineStr">
        <is>
          <t>SUBSCRIPTION PRICING</t>
        </is>
      </c>
    </row>
    <row r="12">
      <c r="A12" s="9" t="inlineStr">
        <is>
          <t>Tier</t>
        </is>
      </c>
      <c r="B12" s="9" t="inlineStr">
        <is>
          <t>Monthly</t>
        </is>
      </c>
      <c r="C12" s="9" t="inlineStr">
        <is>
          <t>Annual</t>
        </is>
      </c>
      <c r="D12" s="9" t="inlineStr">
        <is>
          <t>Eff. Monthly (Annual)</t>
        </is>
      </c>
    </row>
    <row r="13">
      <c r="A13" s="10" t="inlineStr">
        <is>
          <t>Starter (Free)</t>
        </is>
      </c>
      <c r="B13" s="11" t="n">
        <v>0</v>
      </c>
      <c r="C13" s="11" t="n">
        <v>0</v>
      </c>
      <c r="D13" s="11" t="n">
        <v>0</v>
      </c>
    </row>
    <row r="14">
      <c r="A14" s="12" t="inlineStr">
        <is>
          <t>Pro</t>
        </is>
      </c>
      <c r="B14" s="13" t="n">
        <v>39.99</v>
      </c>
      <c r="C14" s="13" t="n">
        <v>349.99</v>
      </c>
      <c r="D14" s="13" t="n">
        <v>29.17</v>
      </c>
    </row>
    <row r="15"/>
    <row r="16">
      <c r="A16" s="8" t="inlineStr">
        <is>
          <t>NET REVENUE AFTER PROCESSING FEES</t>
        </is>
      </c>
    </row>
    <row r="17">
      <c r="A17" s="9" t="inlineStr">
        <is>
          <t>Channel</t>
        </is>
      </c>
      <c r="B17" s="9" t="inlineStr">
        <is>
          <t>Fee Structure</t>
        </is>
      </c>
      <c r="C17" s="9" t="inlineStr">
        <is>
          <t>Monthly Net</t>
        </is>
      </c>
      <c r="D17" s="9" t="inlineStr">
        <is>
          <t>Annual Net (/mo)</t>
        </is>
      </c>
    </row>
    <row r="18">
      <c r="A18" s="12" t="inlineStr">
        <is>
          <t>Stripe (Web)</t>
        </is>
      </c>
      <c r="B18" s="12" t="inlineStr">
        <is>
          <t>2.9% + $0.30/txn</t>
        </is>
      </c>
      <c r="C18" s="13" t="n">
        <v>38.53</v>
      </c>
      <c r="D18" s="13" t="n">
        <v>28.3</v>
      </c>
    </row>
    <row r="19">
      <c r="A19" s="10" t="inlineStr">
        <is>
          <t>Apple IAP (15% SBP)</t>
        </is>
      </c>
      <c r="B19" s="10" t="inlineStr">
        <is>
          <t>15% commission</t>
        </is>
      </c>
      <c r="C19" s="11" t="n">
        <v>33.99</v>
      </c>
      <c r="D19" s="11" t="n">
        <v>24.79</v>
      </c>
    </row>
    <row r="20">
      <c r="A20" s="12" t="inlineStr">
        <is>
          <t>Google Play (15%)</t>
        </is>
      </c>
      <c r="B20" s="12" t="inlineStr">
        <is>
          <t>15% commission</t>
        </is>
      </c>
      <c r="C20" s="13" t="n">
        <v>33.99</v>
      </c>
      <c r="D20" s="13" t="n">
        <v>24.79</v>
      </c>
    </row>
    <row r="21"/>
    <row r="22">
      <c r="A22" s="8" t="inlineStr">
        <is>
          <t>BLENDED NET ARPU</t>
        </is>
      </c>
    </row>
    <row r="23">
      <c r="A23" s="9" t="inlineStr">
        <is>
          <t>Segment</t>
        </is>
      </c>
      <c r="B23" s="9" t="inlineStr">
        <is>
          <t>Mix %</t>
        </is>
      </c>
      <c r="C23" s="9" t="inlineStr">
        <is>
          <t>Net $/mo</t>
        </is>
      </c>
      <c r="D23" s="9" t="inlineStr">
        <is>
          <t>Contribution</t>
        </is>
      </c>
    </row>
    <row r="24">
      <c r="A24" s="12" t="inlineStr">
        <is>
          <t>Web — Monthly</t>
        </is>
      </c>
      <c r="B24" s="14" t="n">
        <v>0.52</v>
      </c>
      <c r="C24" s="13" t="n">
        <v>38.53</v>
      </c>
      <c r="D24" s="13" t="n">
        <v>20.04</v>
      </c>
    </row>
    <row r="25">
      <c r="A25" s="10" t="inlineStr">
        <is>
          <t>Web — Annual</t>
        </is>
      </c>
      <c r="B25" s="15" t="n">
        <v>0.28</v>
      </c>
      <c r="C25" s="11" t="n">
        <v>28.3</v>
      </c>
      <c r="D25" s="11" t="n">
        <v>7.92</v>
      </c>
    </row>
    <row r="26">
      <c r="A26" s="12" t="inlineStr">
        <is>
          <t>iOS — Monthly</t>
        </is>
      </c>
      <c r="B26" s="14" t="n">
        <v>0.13</v>
      </c>
      <c r="C26" s="13" t="n">
        <v>33.99</v>
      </c>
      <c r="D26" s="13" t="n">
        <v>4.42</v>
      </c>
    </row>
    <row r="27">
      <c r="A27" s="10" t="inlineStr">
        <is>
          <t>iOS — Annual</t>
        </is>
      </c>
      <c r="B27" s="15" t="n">
        <v>0.07000000000000001</v>
      </c>
      <c r="C27" s="11" t="n">
        <v>24.79</v>
      </c>
      <c r="D27" s="11" t="n">
        <v>1.74</v>
      </c>
    </row>
    <row r="28">
      <c r="A28" s="16" t="inlineStr">
        <is>
          <t>Blended ARPU (net)</t>
        </is>
      </c>
      <c r="B28" s="17" t="n">
        <v>1</v>
      </c>
      <c r="C28" s="16" t="inlineStr"/>
      <c r="D28" s="18" t="n">
        <v>34.12</v>
      </c>
    </row>
  </sheetData>
  <mergeCells count="14">
    <mergeCell ref="A4:B4"/>
    <mergeCell ref="A2:F2"/>
    <mergeCell ref="E4:F4"/>
    <mergeCell ref="C7:D7"/>
    <mergeCell ref="A7:B7"/>
    <mergeCell ref="E7:F7"/>
    <mergeCell ref="A1:F1"/>
    <mergeCell ref="C5:D5"/>
    <mergeCell ref="A5:B5"/>
    <mergeCell ref="E5:F5"/>
    <mergeCell ref="A8:B8"/>
    <mergeCell ref="E8:F8"/>
    <mergeCell ref="C8:D8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EF4444"/>
    <outlinePr summaryBelow="1" summaryRight="1"/>
    <pageSetUpPr/>
  </sheetPr>
  <dimension ref="A1:G29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7" customWidth="1" min="2" max="2"/>
    <col width="16" customWidth="1" min="3" max="3"/>
    <col width="20" customWidth="1" min="4" max="4"/>
    <col width="22" customWidth="1" min="5" max="5"/>
    <col width="16" customWidth="1" min="6" max="6"/>
    <col width="32" customWidth="1" min="7" max="7"/>
  </cols>
  <sheetData>
    <row r="1">
      <c r="A1" s="19" t="inlineStr">
        <is>
          <t>Fixed Monthly Costs — Current Plans</t>
        </is>
      </c>
    </row>
    <row r="2"/>
    <row r="3">
      <c r="A3" s="9" t="inlineStr">
        <is>
          <t>#</t>
        </is>
      </c>
      <c r="B3" s="9" t="inlineStr">
        <is>
          <t>Service</t>
        </is>
      </c>
      <c r="C3" s="9" t="inlineStr">
        <is>
          <t>Plan</t>
        </is>
      </c>
      <c r="D3" s="9" t="inlineStr">
        <is>
          <t>Monthly Cost</t>
        </is>
      </c>
      <c r="E3" s="9" t="inlineStr">
        <is>
          <t>Included Quota</t>
        </is>
      </c>
      <c r="F3" s="9" t="inlineStr">
        <is>
          <t>Overage Rate</t>
        </is>
      </c>
      <c r="G3" s="9" t="inlineStr">
        <is>
          <t>Notes</t>
        </is>
      </c>
    </row>
    <row r="4">
      <c r="A4" s="10" t="n">
        <v>1</v>
      </c>
      <c r="B4" s="10" t="inlineStr">
        <is>
          <t>RentCast API</t>
        </is>
      </c>
      <c r="C4" s="10" t="inlineStr">
        <is>
          <t>Growth</t>
        </is>
      </c>
      <c r="D4" s="11" t="n">
        <v>199</v>
      </c>
      <c r="E4" s="10" t="inlineStr">
        <is>
          <t>5,000 req/mo</t>
        </is>
      </c>
      <c r="F4" s="10" t="inlineStr">
        <is>
          <t>$0.03/req</t>
        </is>
      </c>
      <c r="G4" s="10" t="inlineStr">
        <is>
          <t>Primary data provider</t>
        </is>
      </c>
    </row>
    <row r="5">
      <c r="A5" s="12" t="n">
        <v>2</v>
      </c>
      <c r="B5" s="12" t="inlineStr">
        <is>
          <t>Zillow / AXESSO API</t>
        </is>
      </c>
      <c r="C5" s="12" t="inlineStr">
        <is>
          <t>Production</t>
        </is>
      </c>
      <c r="D5" s="13" t="n">
        <v>82</v>
      </c>
      <c r="E5" s="12" t="inlineStr">
        <is>
          <t>100,000 req/mo</t>
        </is>
      </c>
      <c r="F5" s="12" t="inlineStr">
        <is>
          <t>n/a</t>
        </is>
      </c>
      <c r="G5" s="12" t="inlineStr">
        <is>
          <t>€75 ≈ $82 USD</t>
        </is>
      </c>
    </row>
    <row r="6">
      <c r="A6" s="10" t="n">
        <v>3</v>
      </c>
      <c r="B6" s="10" t="inlineStr">
        <is>
          <t>RapidAPI — Redfin</t>
        </is>
      </c>
      <c r="C6" s="10" t="inlineStr">
        <is>
          <t>Pro</t>
        </is>
      </c>
      <c r="D6" s="11" t="n">
        <v>15</v>
      </c>
      <c r="E6" s="10" t="inlineStr">
        <is>
          <t>~1,000+ req/mo</t>
        </is>
      </c>
      <c r="F6" s="10" t="inlineStr">
        <is>
          <t>n/a</t>
        </is>
      </c>
      <c r="G6" s="10" t="inlineStr">
        <is>
          <t>Verify quota in dashboard</t>
        </is>
      </c>
    </row>
    <row r="7">
      <c r="A7" s="12" t="n">
        <v>4</v>
      </c>
      <c r="B7" s="12" t="inlineStr">
        <is>
          <t>RapidAPI — Realtor</t>
        </is>
      </c>
      <c r="C7" s="12" t="inlineStr">
        <is>
          <t>Pro</t>
        </is>
      </c>
      <c r="D7" s="13" t="n">
        <v>15</v>
      </c>
      <c r="E7" s="12" t="inlineStr">
        <is>
          <t>~1,000+ req/mo</t>
        </is>
      </c>
      <c r="F7" s="12" t="inlineStr">
        <is>
          <t>n/a</t>
        </is>
      </c>
      <c r="G7" s="12" t="inlineStr">
        <is>
          <t>Verify quota in dashboard</t>
        </is>
      </c>
    </row>
    <row r="8">
      <c r="A8" s="10" t="n">
        <v>5</v>
      </c>
      <c r="B8" s="10" t="inlineStr">
        <is>
          <t>Railway</t>
        </is>
      </c>
      <c r="C8" s="10" t="inlineStr">
        <is>
          <t>Pro</t>
        </is>
      </c>
      <c r="D8" s="11" t="n">
        <v>20</v>
      </c>
      <c r="E8" s="10" t="inlineStr">
        <is>
          <t>$20 usage credit</t>
        </is>
      </c>
      <c r="F8" s="10" t="inlineStr">
        <is>
          <t>Usage-based</t>
        </is>
      </c>
      <c r="G8" s="10" t="inlineStr">
        <is>
          <t>Backend hosting</t>
        </is>
      </c>
    </row>
    <row r="9">
      <c r="A9" s="12" t="n">
        <v>6</v>
      </c>
      <c r="B9" s="12" t="inlineStr">
        <is>
          <t>Vercel</t>
        </is>
      </c>
      <c r="C9" s="12" t="inlineStr">
        <is>
          <t>Pro</t>
        </is>
      </c>
      <c r="D9" s="13" t="n">
        <v>20</v>
      </c>
      <c r="E9" s="12" t="inlineStr">
        <is>
          <t>Standard limits</t>
        </is>
      </c>
      <c r="F9" s="12" t="inlineStr">
        <is>
          <t>Usage-based</t>
        </is>
      </c>
      <c r="G9" s="12" t="inlineStr">
        <is>
          <t>Frontend hosting</t>
        </is>
      </c>
    </row>
    <row r="10">
      <c r="A10" s="10" t="n">
        <v>7</v>
      </c>
      <c r="B10" s="10" t="inlineStr">
        <is>
          <t>Expo (EAS)</t>
        </is>
      </c>
      <c r="C10" s="10" t="inlineStr">
        <is>
          <t>Starter</t>
        </is>
      </c>
      <c r="D10" s="11" t="n">
        <v>19</v>
      </c>
      <c r="E10" s="10" t="inlineStr">
        <is>
          <t>3K MAUs</t>
        </is>
      </c>
      <c r="F10" s="10" t="inlineStr">
        <is>
          <t>n/a</t>
        </is>
      </c>
      <c r="G10" s="10" t="inlineStr">
        <is>
          <t>$45 build credit</t>
        </is>
      </c>
    </row>
    <row r="11">
      <c r="A11" s="12" t="n">
        <v>8</v>
      </c>
      <c r="B11" s="12" t="inlineStr">
        <is>
          <t>Apple Developer</t>
        </is>
      </c>
      <c r="C11" s="12" t="inlineStr">
        <is>
          <t>Annual</t>
        </is>
      </c>
      <c r="D11" s="13" t="n">
        <v>8.25</v>
      </c>
      <c r="E11" s="12" t="inlineStr">
        <is>
          <t>—</t>
        </is>
      </c>
      <c r="F11" s="12" t="inlineStr">
        <is>
          <t>—</t>
        </is>
      </c>
      <c r="G11" s="12" t="inlineStr">
        <is>
          <t>$99/yr amortized</t>
        </is>
      </c>
    </row>
    <row r="12">
      <c r="A12" s="10" t="n">
        <v>9</v>
      </c>
      <c r="B12" s="10" t="inlineStr">
        <is>
          <t>Google Play Developer</t>
        </is>
      </c>
      <c r="C12" s="10" t="inlineStr">
        <is>
          <t>One-time</t>
        </is>
      </c>
      <c r="D12" s="11" t="n">
        <v>2.08</v>
      </c>
      <c r="E12" s="10" t="inlineStr">
        <is>
          <t>—</t>
        </is>
      </c>
      <c r="F12" s="10" t="inlineStr">
        <is>
          <t>—</t>
        </is>
      </c>
      <c r="G12" s="10" t="inlineStr">
        <is>
          <t>$25 amortized 12 mo</t>
        </is>
      </c>
    </row>
    <row r="13">
      <c r="A13" s="12" t="n">
        <v>10</v>
      </c>
      <c r="B13" s="12" t="inlineStr">
        <is>
          <t>Domain (dealgapiq.com)</t>
        </is>
      </c>
      <c r="C13" s="12" t="inlineStr">
        <is>
          <t>Annual</t>
        </is>
      </c>
      <c r="D13" s="13" t="n">
        <v>1.5</v>
      </c>
      <c r="E13" s="12" t="inlineStr">
        <is>
          <t>—</t>
        </is>
      </c>
      <c r="F13" s="12" t="inlineStr">
        <is>
          <t>—</t>
        </is>
      </c>
      <c r="G13" s="12" t="inlineStr">
        <is>
          <t>~$18/yr amortized</t>
        </is>
      </c>
    </row>
    <row r="14">
      <c r="A14" s="10" t="n">
        <v>11</v>
      </c>
      <c r="B14" s="10" t="inlineStr">
        <is>
          <t>Anthropic (Claude)</t>
        </is>
      </c>
      <c r="C14" s="10" t="inlineStr">
        <is>
          <t>Pay-per-use</t>
        </is>
      </c>
      <c r="D14" s="11" t="n">
        <v>5</v>
      </c>
      <c r="E14" s="10" t="inlineStr">
        <is>
          <t>—</t>
        </is>
      </c>
      <c r="F14" s="10" t="inlineStr">
        <is>
          <t>~$0.01/call</t>
        </is>
      </c>
      <c r="G14" s="10" t="inlineStr">
        <is>
          <t>Appraisal narratives</t>
        </is>
      </c>
    </row>
    <row r="15">
      <c r="A15" s="12" t="n">
        <v>12</v>
      </c>
      <c r="B15" s="12" t="inlineStr">
        <is>
          <t>Google Maps Platform</t>
        </is>
      </c>
      <c r="C15" s="12" t="inlineStr">
        <is>
          <t>Pay-as-you-go</t>
        </is>
      </c>
      <c r="D15" s="13" t="n">
        <v>0</v>
      </c>
      <c r="E15" s="12" t="inlineStr">
        <is>
          <t>$200/mo free credit</t>
        </is>
      </c>
      <c r="F15" s="12" t="inlineStr">
        <is>
          <t>Pay-as-you-go</t>
        </is>
      </c>
      <c r="G15" s="12" t="inlineStr">
        <is>
          <t>Autocomplete + Geocoding</t>
        </is>
      </c>
    </row>
    <row r="16">
      <c r="A16" s="10" t="n">
        <v>13</v>
      </c>
      <c r="B16" s="10" t="inlineStr">
        <is>
          <t>Sentry</t>
        </is>
      </c>
      <c r="C16" s="10" t="inlineStr">
        <is>
          <t>Free</t>
        </is>
      </c>
      <c r="D16" s="11" t="n">
        <v>0</v>
      </c>
      <c r="E16" s="10" t="inlineStr">
        <is>
          <t>5K errors/mo</t>
        </is>
      </c>
      <c r="F16" s="10" t="inlineStr">
        <is>
          <t>n/a</t>
        </is>
      </c>
      <c r="G16" s="10" t="inlineStr">
        <is>
          <t>Error monitoring</t>
        </is>
      </c>
    </row>
    <row r="17">
      <c r="A17" s="12" t="n">
        <v>14</v>
      </c>
      <c r="B17" s="12" t="inlineStr">
        <is>
          <t>Resend</t>
        </is>
      </c>
      <c r="C17" s="12" t="inlineStr">
        <is>
          <t>Free</t>
        </is>
      </c>
      <c r="D17" s="13" t="n">
        <v>0</v>
      </c>
      <c r="E17" s="12" t="inlineStr">
        <is>
          <t>3,000 emails/mo</t>
        </is>
      </c>
      <c r="F17" s="12" t="inlineStr">
        <is>
          <t>n/a</t>
        </is>
      </c>
      <c r="G17" s="12" t="inlineStr">
        <is>
          <t>Transactional email</t>
        </is>
      </c>
    </row>
    <row r="18">
      <c r="A18" s="10" t="n">
        <v>15</v>
      </c>
      <c r="B18" s="10" t="inlineStr">
        <is>
          <t>RevenueCat</t>
        </is>
      </c>
      <c r="C18" s="10" t="inlineStr">
        <is>
          <t>Free</t>
        </is>
      </c>
      <c r="D18" s="11" t="n">
        <v>0</v>
      </c>
      <c r="E18" s="10" t="inlineStr">
        <is>
          <t>&lt; $2,500 MTR</t>
        </is>
      </c>
      <c r="F18" s="10" t="inlineStr">
        <is>
          <t>1% above</t>
        </is>
      </c>
      <c r="G18" s="10" t="inlineStr">
        <is>
          <t>Mobile IAP management</t>
        </is>
      </c>
    </row>
    <row r="19">
      <c r="A19" s="16" t="inlineStr"/>
      <c r="B19" s="16" t="inlineStr">
        <is>
          <t>TOTAL FIXED COSTS</t>
        </is>
      </c>
      <c r="C19" s="16" t="inlineStr"/>
      <c r="D19" s="18">
        <f>SUM(D4:D18)</f>
        <v/>
      </c>
      <c r="E19" s="16" t="n"/>
      <c r="F19" s="16" t="n"/>
      <c r="G19" s="16" t="n"/>
    </row>
    <row r="20"/>
    <row r="21">
      <c r="A21" s="8" t="inlineStr">
        <is>
          <t>Additional Costs to Consider (Not in Total)</t>
        </is>
      </c>
    </row>
    <row r="22">
      <c r="A22" s="9" t="inlineStr"/>
      <c r="B22" s="9" t="inlineStr">
        <is>
          <t>Item</t>
        </is>
      </c>
      <c r="C22" s="9" t="inlineStr"/>
      <c r="D22" s="9" t="inlineStr">
        <is>
          <t>Est. Monthly Cost</t>
        </is>
      </c>
      <c r="E22" s="9" t="inlineStr"/>
      <c r="F22" s="9" t="inlineStr"/>
      <c r="G22" s="9" t="inlineStr">
        <is>
          <t>Notes</t>
        </is>
      </c>
    </row>
    <row r="23">
      <c r="A23" s="10" t="inlineStr"/>
      <c r="B23" s="10" t="inlineStr">
        <is>
          <t>GitHub (private repos)</t>
        </is>
      </c>
      <c r="C23" s="10" t="inlineStr"/>
      <c r="D23" s="10" t="inlineStr">
        <is>
          <t>0–4</t>
        </is>
      </c>
      <c r="E23" s="10" t="inlineStr"/>
      <c r="F23" s="10" t="inlineStr"/>
      <c r="G23" s="10" t="inlineStr">
        <is>
          <t>Free for individual; Team $4/user/mo</t>
        </is>
      </c>
    </row>
    <row r="24">
      <c r="A24" s="12" t="inlineStr"/>
      <c r="B24" s="12" t="inlineStr">
        <is>
          <t>Cursor IDE</t>
        </is>
      </c>
      <c r="C24" s="12" t="inlineStr"/>
      <c r="D24" s="12" t="inlineStr">
        <is>
          <t>20</t>
        </is>
      </c>
      <c r="E24" s="12" t="inlineStr"/>
      <c r="F24" s="12" t="inlineStr"/>
      <c r="G24" s="12" t="inlineStr">
        <is>
          <t>Development tool subscription</t>
        </is>
      </c>
    </row>
    <row r="25">
      <c r="A25" s="10" t="inlineStr"/>
      <c r="B25" s="10" t="inlineStr">
        <is>
          <t>Accounting / Bookkeeping</t>
        </is>
      </c>
      <c r="C25" s="10" t="inlineStr"/>
      <c r="D25" s="10" t="inlineStr">
        <is>
          <t>0–50</t>
        </is>
      </c>
      <c r="E25" s="10" t="inlineStr"/>
      <c r="F25" s="10" t="inlineStr"/>
      <c r="G25" s="10" t="inlineStr">
        <is>
          <t>Manual or service</t>
        </is>
      </c>
    </row>
    <row r="26">
      <c r="A26" s="12" t="inlineStr"/>
      <c r="B26" s="12" t="inlineStr">
        <is>
          <t>Business Insurance</t>
        </is>
      </c>
      <c r="C26" s="12" t="inlineStr"/>
      <c r="D26" s="12" t="inlineStr">
        <is>
          <t>0–100</t>
        </is>
      </c>
      <c r="E26" s="12" t="inlineStr"/>
      <c r="F26" s="12" t="inlineStr"/>
      <c r="G26" s="12" t="inlineStr">
        <is>
          <t>E&amp;O / general liability</t>
        </is>
      </c>
    </row>
    <row r="27">
      <c r="A27" s="10" t="inlineStr"/>
      <c r="B27" s="10" t="inlineStr">
        <is>
          <t>Legal (entity, ToS)</t>
        </is>
      </c>
      <c r="C27" s="10" t="inlineStr"/>
      <c r="D27" s="10" t="inlineStr">
        <is>
          <t>~50</t>
        </is>
      </c>
      <c r="E27" s="10" t="inlineStr"/>
      <c r="F27" s="10" t="inlineStr"/>
      <c r="G27" s="10" t="inlineStr">
        <is>
          <t>$600/yr amortized</t>
        </is>
      </c>
    </row>
    <row r="28">
      <c r="A28" s="12" t="inlineStr"/>
      <c r="B28" s="12" t="inlineStr">
        <is>
          <t>Marketing / Ads</t>
        </is>
      </c>
      <c r="C28" s="12" t="inlineStr"/>
      <c r="D28" s="12" t="inlineStr">
        <is>
          <t>0+</t>
        </is>
      </c>
      <c r="E28" s="12" t="inlineStr"/>
      <c r="F28" s="12" t="inlineStr"/>
      <c r="G28" s="12" t="inlineStr">
        <is>
          <t>Variable; CAC dependent</t>
        </is>
      </c>
    </row>
    <row r="29">
      <c r="A29" s="10" t="inlineStr"/>
      <c r="B29" s="10" t="inlineStr">
        <is>
          <t>Founder Salary</t>
        </is>
      </c>
      <c r="C29" s="10" t="inlineStr"/>
      <c r="D29" s="10" t="inlineStr">
        <is>
          <t>0+</t>
        </is>
      </c>
      <c r="E29" s="10" t="inlineStr"/>
      <c r="F29" s="10" t="inlineStr"/>
      <c r="G29" s="10" t="inlineStr">
        <is>
          <t>Critical at scale</t>
        </is>
      </c>
    </row>
  </sheetData>
  <mergeCells count="2">
    <mergeCell ref="A21:G21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2C55E"/>
    <outlinePr summaryBelow="1" summaryRight="1"/>
    <pageSetUpPr/>
  </sheetPr>
  <dimension ref="A1:J3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6" customWidth="1" min="3" max="3"/>
    <col width="14" customWidth="1" min="4" max="4"/>
    <col width="20" customWidth="1" min="5" max="5"/>
    <col width="22" customWidth="1" min="6" max="6"/>
    <col width="16" customWidth="1" min="7" max="7"/>
    <col width="15" customWidth="1" min="8" max="8"/>
    <col width="22" customWidth="1" min="9" max="9"/>
    <col width="22" customWidth="1" min="10" max="10"/>
  </cols>
  <sheetData>
    <row r="1">
      <c r="A1" s="19" t="inlineStr">
        <is>
          <t>Profitability by Subscriber Count</t>
        </is>
      </c>
    </row>
    <row r="2"/>
    <row r="3">
      <c r="A3" s="8" t="inlineStr">
        <is>
          <t>MODEL ASSUMPTIONS</t>
        </is>
      </c>
    </row>
    <row r="4">
      <c r="A4" s="20" t="inlineStr">
        <is>
          <t>Blended Net ARPU</t>
        </is>
      </c>
      <c r="B4" s="21" t="n">
        <v>34.12</v>
      </c>
    </row>
    <row r="5">
      <c r="A5" s="20" t="inlineStr">
        <is>
          <t>Activity Rate</t>
        </is>
      </c>
      <c r="B5" s="22" t="n">
        <v>0.6</v>
      </c>
    </row>
    <row r="6">
      <c r="A6" s="20" t="inlineStr">
        <is>
          <t>Searches/Active Sub/Mo</t>
        </is>
      </c>
      <c r="B6" s="23" t="n">
        <v>15</v>
      </c>
    </row>
    <row r="7">
      <c r="A7" s="20" t="inlineStr">
        <is>
          <t>Cache Hit Rate</t>
        </is>
      </c>
      <c r="B7" s="22" t="n">
        <v>0.3</v>
      </c>
    </row>
    <row r="8">
      <c r="A8" s="20" t="inlineStr">
        <is>
          <t>Cold Searches/Active Sub</t>
        </is>
      </c>
      <c r="B8" s="24" t="n">
        <v>10.5</v>
      </c>
    </row>
    <row r="9">
      <c r="A9" s="20" t="inlineStr">
        <is>
          <t>RentCast Calls/Search</t>
        </is>
      </c>
      <c r="B9" s="23" t="n">
        <v>4</v>
      </c>
    </row>
    <row r="10">
      <c r="A10" s="20" t="inlineStr">
        <is>
          <t>RentCast Calls/Active Sub/Mo</t>
        </is>
      </c>
      <c r="B10" s="23" t="n">
        <v>42</v>
      </c>
    </row>
    <row r="11">
      <c r="A11" s="20" t="inlineStr">
        <is>
          <t>Fixed Costs/Month</t>
        </is>
      </c>
      <c r="B11" s="21" t="n">
        <v>386.83</v>
      </c>
    </row>
    <row r="12">
      <c r="A12" s="20" t="inlineStr">
        <is>
          <t>Anthropic $/Narrative</t>
        </is>
      </c>
      <c r="B12" s="25" t="n">
        <v>0.01</v>
      </c>
    </row>
    <row r="13"/>
    <row r="14"/>
    <row r="15">
      <c r="A15" s="9" t="inlineStr">
        <is>
          <t>Paid Subs</t>
        </is>
      </c>
      <c r="B15" s="9" t="inlineStr">
        <is>
          <t>Active (60%)</t>
        </is>
      </c>
      <c r="C15" s="9" t="inlineStr">
        <is>
          <t>Gross Revenue</t>
        </is>
      </c>
      <c r="D15" s="9" t="inlineStr">
        <is>
          <t>Net Revenue</t>
        </is>
      </c>
      <c r="E15" s="9" t="inlineStr">
        <is>
          <t>Fixed Costs</t>
        </is>
      </c>
      <c r="F15" s="9" t="inlineStr">
        <is>
          <t>RentCast Overage</t>
        </is>
      </c>
      <c r="G15" s="9" t="inlineStr">
        <is>
          <t>Anthropic</t>
        </is>
      </c>
      <c r="H15" s="9" t="inlineStr">
        <is>
          <t>Total Costs</t>
        </is>
      </c>
      <c r="I15" s="9" t="inlineStr">
        <is>
          <t>Monthly Profit/Loss</t>
        </is>
      </c>
      <c r="J15" s="9" t="inlineStr">
        <is>
          <t>Operating Margin</t>
        </is>
      </c>
    </row>
    <row r="16">
      <c r="A16" s="10" t="n">
        <v>1</v>
      </c>
      <c r="B16" s="26">
        <f>A16*$B$5</f>
        <v/>
      </c>
      <c r="C16" s="11">
        <f>A16*36.99</f>
        <v/>
      </c>
      <c r="D16" s="11">
        <f>A16*$B$4</f>
        <v/>
      </c>
      <c r="E16" s="11">
        <f>$B$11</f>
        <v/>
      </c>
      <c r="F16" s="11">
        <f>MAX(0, B16*42 - 5000)*0.03</f>
        <v/>
      </c>
      <c r="G16" s="11">
        <f>B16*15*$B$12</f>
        <v/>
      </c>
      <c r="H16" s="11">
        <f>E16+F16+G16</f>
        <v/>
      </c>
      <c r="I16" s="27">
        <f>D16-H16</f>
        <v/>
      </c>
      <c r="J16" s="15">
        <f>IF(D16&gt;0, I16/D16, 0)</f>
        <v/>
      </c>
    </row>
    <row r="17">
      <c r="A17" s="12" t="n">
        <v>5</v>
      </c>
      <c r="B17" s="28">
        <f>A17*$B$5</f>
        <v/>
      </c>
      <c r="C17" s="13">
        <f>A17*36.99</f>
        <v/>
      </c>
      <c r="D17" s="13">
        <f>A17*$B$4</f>
        <v/>
      </c>
      <c r="E17" s="13">
        <f>$B$11</f>
        <v/>
      </c>
      <c r="F17" s="13">
        <f>MAX(0, B17*42 - 5000)*0.03</f>
        <v/>
      </c>
      <c r="G17" s="13">
        <f>B17*15*$B$12</f>
        <v/>
      </c>
      <c r="H17" s="13">
        <f>E17+F17+G17</f>
        <v/>
      </c>
      <c r="I17" s="29">
        <f>D17-H17</f>
        <v/>
      </c>
      <c r="J17" s="14">
        <f>IF(D17&gt;0, I17/D17, 0)</f>
        <v/>
      </c>
    </row>
    <row r="18">
      <c r="A18" s="10" t="n">
        <v>10</v>
      </c>
      <c r="B18" s="26">
        <f>A18*$B$5</f>
        <v/>
      </c>
      <c r="C18" s="11">
        <f>A18*36.99</f>
        <v/>
      </c>
      <c r="D18" s="11">
        <f>A18*$B$4</f>
        <v/>
      </c>
      <c r="E18" s="11">
        <f>$B$11</f>
        <v/>
      </c>
      <c r="F18" s="11">
        <f>MAX(0, B18*42 - 5000)*0.03</f>
        <v/>
      </c>
      <c r="G18" s="11">
        <f>B18*15*$B$12</f>
        <v/>
      </c>
      <c r="H18" s="11">
        <f>E18+F18+G18</f>
        <v/>
      </c>
      <c r="I18" s="27">
        <f>D18-H18</f>
        <v/>
      </c>
      <c r="J18" s="15">
        <f>IF(D18&gt;0, I18/D18, 0)</f>
        <v/>
      </c>
    </row>
    <row r="19">
      <c r="A19" s="12" t="n">
        <v>12</v>
      </c>
      <c r="B19" s="28">
        <f>A19*$B$5</f>
        <v/>
      </c>
      <c r="C19" s="13">
        <f>A19*36.99</f>
        <v/>
      </c>
      <c r="D19" s="13">
        <f>A19*$B$4</f>
        <v/>
      </c>
      <c r="E19" s="13">
        <f>$B$11</f>
        <v/>
      </c>
      <c r="F19" s="13">
        <f>MAX(0, B19*42 - 5000)*0.03</f>
        <v/>
      </c>
      <c r="G19" s="13">
        <f>B19*15*$B$12</f>
        <v/>
      </c>
      <c r="H19" s="13">
        <f>E19+F19+G19</f>
        <v/>
      </c>
      <c r="I19" s="30">
        <f>D19-H19</f>
        <v/>
      </c>
      <c r="J19" s="14">
        <f>IF(D19&gt;0, I19/D19, 0)</f>
        <v/>
      </c>
    </row>
    <row r="20">
      <c r="A20" s="10" t="n">
        <v>15</v>
      </c>
      <c r="B20" s="26">
        <f>A20*$B$5</f>
        <v/>
      </c>
      <c r="C20" s="11">
        <f>A20*36.99</f>
        <v/>
      </c>
      <c r="D20" s="11">
        <f>A20*$B$4</f>
        <v/>
      </c>
      <c r="E20" s="11">
        <f>$B$11</f>
        <v/>
      </c>
      <c r="F20" s="11">
        <f>MAX(0, B20*42 - 5000)*0.03</f>
        <v/>
      </c>
      <c r="G20" s="11">
        <f>B20*15*$B$12</f>
        <v/>
      </c>
      <c r="H20" s="11">
        <f>E20+F20+G20</f>
        <v/>
      </c>
      <c r="I20" s="31">
        <f>D20-H20</f>
        <v/>
      </c>
      <c r="J20" s="15">
        <f>IF(D20&gt;0, I20/D20, 0)</f>
        <v/>
      </c>
    </row>
    <row r="21">
      <c r="A21" s="12" t="n">
        <v>25</v>
      </c>
      <c r="B21" s="28">
        <f>A21*$B$5</f>
        <v/>
      </c>
      <c r="C21" s="13">
        <f>A21*36.99</f>
        <v/>
      </c>
      <c r="D21" s="13">
        <f>A21*$B$4</f>
        <v/>
      </c>
      <c r="E21" s="13">
        <f>$B$11</f>
        <v/>
      </c>
      <c r="F21" s="13">
        <f>MAX(0, B21*42 - 5000)*0.03</f>
        <v/>
      </c>
      <c r="G21" s="13">
        <f>B21*15*$B$12</f>
        <v/>
      </c>
      <c r="H21" s="13">
        <f>E21+F21+G21</f>
        <v/>
      </c>
      <c r="I21" s="30">
        <f>D21-H21</f>
        <v/>
      </c>
      <c r="J21" s="14">
        <f>IF(D21&gt;0, I21/D21, 0)</f>
        <v/>
      </c>
    </row>
    <row r="22">
      <c r="A22" s="10" t="n">
        <v>50</v>
      </c>
      <c r="B22" s="26">
        <f>A22*$B$5</f>
        <v/>
      </c>
      <c r="C22" s="11">
        <f>A22*36.99</f>
        <v/>
      </c>
      <c r="D22" s="11">
        <f>A22*$B$4</f>
        <v/>
      </c>
      <c r="E22" s="11">
        <f>$B$11</f>
        <v/>
      </c>
      <c r="F22" s="11">
        <f>MAX(0, B22*42 - 5000)*0.03</f>
        <v/>
      </c>
      <c r="G22" s="11">
        <f>B22*15*$B$12</f>
        <v/>
      </c>
      <c r="H22" s="11">
        <f>E22+F22+G22</f>
        <v/>
      </c>
      <c r="I22" s="31">
        <f>D22-H22</f>
        <v/>
      </c>
      <c r="J22" s="15">
        <f>IF(D22&gt;0, I22/D22, 0)</f>
        <v/>
      </c>
    </row>
    <row r="23">
      <c r="A23" s="12" t="n">
        <v>75</v>
      </c>
      <c r="B23" s="28">
        <f>A23*$B$5</f>
        <v/>
      </c>
      <c r="C23" s="13">
        <f>A23*36.99</f>
        <v/>
      </c>
      <c r="D23" s="13">
        <f>A23*$B$4</f>
        <v/>
      </c>
      <c r="E23" s="13">
        <f>$B$11</f>
        <v/>
      </c>
      <c r="F23" s="13">
        <f>MAX(0, B23*42 - 5000)*0.03</f>
        <v/>
      </c>
      <c r="G23" s="13">
        <f>B23*15*$B$12</f>
        <v/>
      </c>
      <c r="H23" s="13">
        <f>E23+F23+G23</f>
        <v/>
      </c>
      <c r="I23" s="30">
        <f>D23-H23</f>
        <v/>
      </c>
      <c r="J23" s="14">
        <f>IF(D23&gt;0, I23/D23, 0)</f>
        <v/>
      </c>
    </row>
    <row r="24">
      <c r="A24" s="10" t="n">
        <v>100</v>
      </c>
      <c r="B24" s="26">
        <f>A24*$B$5</f>
        <v/>
      </c>
      <c r="C24" s="11">
        <f>A24*36.99</f>
        <v/>
      </c>
      <c r="D24" s="11">
        <f>A24*$B$4</f>
        <v/>
      </c>
      <c r="E24" s="11">
        <f>$B$11</f>
        <v/>
      </c>
      <c r="F24" s="11">
        <f>MAX(0, B24*42 - 5000)*0.03</f>
        <v/>
      </c>
      <c r="G24" s="11">
        <f>B24*15*$B$12</f>
        <v/>
      </c>
      <c r="H24" s="11">
        <f>E24+F24+G24</f>
        <v/>
      </c>
      <c r="I24" s="31">
        <f>D24-H24</f>
        <v/>
      </c>
      <c r="J24" s="15">
        <f>IF(D24&gt;0, I24/D24, 0)</f>
        <v/>
      </c>
    </row>
    <row r="25">
      <c r="A25" s="12" t="n">
        <v>150</v>
      </c>
      <c r="B25" s="28">
        <f>A25*$B$5</f>
        <v/>
      </c>
      <c r="C25" s="13">
        <f>A25*36.99</f>
        <v/>
      </c>
      <c r="D25" s="13">
        <f>A25*$B$4</f>
        <v/>
      </c>
      <c r="E25" s="13">
        <f>$B$11</f>
        <v/>
      </c>
      <c r="F25" s="13">
        <f>MAX(0, B25*42 - 5000)*0.03</f>
        <v/>
      </c>
      <c r="G25" s="13">
        <f>B25*15*$B$12</f>
        <v/>
      </c>
      <c r="H25" s="13">
        <f>E25+F25+G25</f>
        <v/>
      </c>
      <c r="I25" s="30">
        <f>D25-H25</f>
        <v/>
      </c>
      <c r="J25" s="14">
        <f>IF(D25&gt;0, I25/D25, 0)</f>
        <v/>
      </c>
    </row>
    <row r="26">
      <c r="A26" s="10" t="n">
        <v>200</v>
      </c>
      <c r="B26" s="26">
        <f>A26*$B$5</f>
        <v/>
      </c>
      <c r="C26" s="11">
        <f>A26*36.99</f>
        <v/>
      </c>
      <c r="D26" s="11">
        <f>A26*$B$4</f>
        <v/>
      </c>
      <c r="E26" s="11">
        <f>$B$11</f>
        <v/>
      </c>
      <c r="F26" s="11">
        <f>MAX(0, B26*42 - 5000)*0.03</f>
        <v/>
      </c>
      <c r="G26" s="11">
        <f>B26*15*$B$12</f>
        <v/>
      </c>
      <c r="H26" s="11">
        <f>E26+F26+G26</f>
        <v/>
      </c>
      <c r="I26" s="31">
        <f>D26-H26</f>
        <v/>
      </c>
      <c r="J26" s="15">
        <f>IF(D26&gt;0, I26/D26, 0)</f>
        <v/>
      </c>
    </row>
    <row r="27">
      <c r="A27" s="12" t="n">
        <v>250</v>
      </c>
      <c r="B27" s="28">
        <f>A27*$B$5</f>
        <v/>
      </c>
      <c r="C27" s="13">
        <f>A27*36.99</f>
        <v/>
      </c>
      <c r="D27" s="13">
        <f>A27*$B$4</f>
        <v/>
      </c>
      <c r="E27" s="13">
        <f>$B$11</f>
        <v/>
      </c>
      <c r="F27" s="13">
        <f>MAX(0, B27*42 - 5000)*0.03</f>
        <v/>
      </c>
      <c r="G27" s="13">
        <f>B27*15*$B$12</f>
        <v/>
      </c>
      <c r="H27" s="13">
        <f>E27+F27+G27</f>
        <v/>
      </c>
      <c r="I27" s="30">
        <f>D27-H27</f>
        <v/>
      </c>
      <c r="J27" s="14">
        <f>IF(D27&gt;0, I27/D27, 0)</f>
        <v/>
      </c>
    </row>
    <row r="28">
      <c r="A28" s="10" t="n">
        <v>300</v>
      </c>
      <c r="B28" s="26">
        <f>A28*$B$5</f>
        <v/>
      </c>
      <c r="C28" s="11">
        <f>A28*36.99</f>
        <v/>
      </c>
      <c r="D28" s="11">
        <f>A28*$B$4</f>
        <v/>
      </c>
      <c r="E28" s="11">
        <f>$B$11+250</f>
        <v/>
      </c>
      <c r="F28" s="11">
        <f>MAX(0, B28*42 - 25000)*0.015</f>
        <v/>
      </c>
      <c r="G28" s="11">
        <f>B28*15*$B$12</f>
        <v/>
      </c>
      <c r="H28" s="11">
        <f>E28+F28+G28</f>
        <v/>
      </c>
      <c r="I28" s="31">
        <f>D28-H28</f>
        <v/>
      </c>
      <c r="J28" s="15">
        <f>IF(D28&gt;0, I28/D28, 0)</f>
        <v/>
      </c>
    </row>
    <row r="29">
      <c r="A29" s="12" t="n">
        <v>400</v>
      </c>
      <c r="B29" s="28">
        <f>A29*$B$5</f>
        <v/>
      </c>
      <c r="C29" s="13">
        <f>A29*36.99</f>
        <v/>
      </c>
      <c r="D29" s="13">
        <f>A29*$B$4</f>
        <v/>
      </c>
      <c r="E29" s="13">
        <f>$B$11+250</f>
        <v/>
      </c>
      <c r="F29" s="13">
        <f>MAX(0, B29*42 - 25000)*0.015</f>
        <v/>
      </c>
      <c r="G29" s="13">
        <f>B29*15*$B$12</f>
        <v/>
      </c>
      <c r="H29" s="13">
        <f>E29+F29+G29</f>
        <v/>
      </c>
      <c r="I29" s="30">
        <f>D29-H29</f>
        <v/>
      </c>
      <c r="J29" s="14">
        <f>IF(D29&gt;0, I29/D29, 0)</f>
        <v/>
      </c>
    </row>
    <row r="30">
      <c r="A30" s="10" t="n">
        <v>500</v>
      </c>
      <c r="B30" s="26">
        <f>A30*$B$5</f>
        <v/>
      </c>
      <c r="C30" s="11">
        <f>A30*36.99</f>
        <v/>
      </c>
      <c r="D30" s="11">
        <f>A30*$B$4</f>
        <v/>
      </c>
      <c r="E30" s="11">
        <f>$B$11+250+180+40</f>
        <v/>
      </c>
      <c r="F30" s="11">
        <f>MAX(0, B30*42 - 25000)*0.015</f>
        <v/>
      </c>
      <c r="G30" s="11">
        <f>B30*15*$B$12</f>
        <v/>
      </c>
      <c r="H30" s="11">
        <f>E30+F30+G30</f>
        <v/>
      </c>
      <c r="I30" s="31">
        <f>D30-H30</f>
        <v/>
      </c>
      <c r="J30" s="15">
        <f>IF(D30&gt;0, I30/D30, 0)</f>
        <v/>
      </c>
    </row>
    <row r="31">
      <c r="A31" s="12" t="n">
        <v>750</v>
      </c>
      <c r="B31" s="28">
        <f>A31*$B$5</f>
        <v/>
      </c>
      <c r="C31" s="13">
        <f>A31*36.99</f>
        <v/>
      </c>
      <c r="D31" s="13">
        <f>A31*$B$4</f>
        <v/>
      </c>
      <c r="E31" s="13">
        <f>$B$11+250+180+40</f>
        <v/>
      </c>
      <c r="F31" s="13">
        <f>MAX(0, B31*42 - 25000)*0.015</f>
        <v/>
      </c>
      <c r="G31" s="13">
        <f>B31*15*$B$12</f>
        <v/>
      </c>
      <c r="H31" s="13">
        <f>E31+F31+G31</f>
        <v/>
      </c>
      <c r="I31" s="30">
        <f>D31-H31</f>
        <v/>
      </c>
      <c r="J31" s="14">
        <f>IF(D31&gt;0, I31/D31, 0)</f>
        <v/>
      </c>
    </row>
    <row r="32">
      <c r="A32" s="10" t="n">
        <v>1000</v>
      </c>
      <c r="B32" s="26">
        <f>A32*$B$5</f>
        <v/>
      </c>
      <c r="C32" s="11">
        <f>A32*36.99</f>
        <v/>
      </c>
      <c r="D32" s="11">
        <f>A32*$B$4</f>
        <v/>
      </c>
      <c r="E32" s="11">
        <f>$B$11+250+180+40</f>
        <v/>
      </c>
      <c r="F32" s="11">
        <f>MAX(0, B32*42 - 25000)*0.015</f>
        <v/>
      </c>
      <c r="G32" s="11">
        <f>B32*15*$B$12</f>
        <v/>
      </c>
      <c r="H32" s="11">
        <f>E32+F32+G32</f>
        <v/>
      </c>
      <c r="I32" s="31">
        <f>D32-H32</f>
        <v/>
      </c>
      <c r="J32" s="15">
        <f>IF(D32&gt;0, I32/D32, 0)</f>
        <v/>
      </c>
    </row>
  </sheetData>
  <mergeCells count="2">
    <mergeCell ref="A1:I1"/>
    <mergeCell ref="A3:D3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F59E0B"/>
    <outlinePr summaryBelow="1" summaryRight="1"/>
    <pageSetUpPr/>
  </sheetPr>
  <dimension ref="A1:H33"/>
  <sheetViews>
    <sheetView showGridLines="0" workbookViewId="0">
      <selection activeCell="A1" sqref="A1"/>
    </sheetView>
  </sheetViews>
  <sheetFormatPr baseColWidth="8" defaultRowHeight="15"/>
  <cols>
    <col width="35" customWidth="1" min="1" max="1"/>
    <col width="32" customWidth="1" min="2" max="2"/>
    <col width="33" customWidth="1" min="3" max="3"/>
    <col width="22" customWidth="1" min="4" max="4"/>
    <col width="22" customWidth="1" min="5" max="5"/>
    <col width="22" customWidth="1" min="6" max="6"/>
    <col width="22" customWidth="1" min="7" max="7"/>
    <col width="19" customWidth="1" min="8" max="8"/>
  </cols>
  <sheetData>
    <row r="1">
      <c r="A1" s="19" t="inlineStr">
        <is>
          <t>API Capacity &amp; Scaling Triggers</t>
        </is>
      </c>
    </row>
    <row r="2"/>
    <row r="3">
      <c r="A3" s="8" t="inlineStr">
        <is>
          <t>API CALLS PER COLD PROPERTY SEARCH</t>
        </is>
      </c>
    </row>
    <row r="4">
      <c r="A4" s="9" t="inlineStr">
        <is>
          <t>Provider</t>
        </is>
      </c>
      <c r="B4" s="9" t="inlineStr">
        <is>
          <t>Calls/Search</t>
        </is>
      </c>
      <c r="C4" s="9" t="inlineStr">
        <is>
          <t>Calls/Active Sub/Mo</t>
        </is>
      </c>
      <c r="D4" s="9" t="inlineStr">
        <is>
          <t>Included Quota</t>
        </is>
      </c>
      <c r="E4" s="9" t="inlineStr">
        <is>
          <t>Max Active Subs</t>
        </is>
      </c>
      <c r="F4" s="9" t="inlineStr">
        <is>
          <t>Max Paid Subs (60%)</t>
        </is>
      </c>
    </row>
    <row r="5">
      <c r="A5" s="10" t="inlineStr">
        <is>
          <t>RentCast</t>
        </is>
      </c>
      <c r="B5" s="10" t="n">
        <v>4</v>
      </c>
      <c r="C5" s="10" t="n">
        <v>42</v>
      </c>
      <c r="D5" s="26" t="n">
        <v>5000</v>
      </c>
      <c r="E5" s="26" t="n">
        <v>119</v>
      </c>
      <c r="F5" s="26" t="n">
        <v>198</v>
      </c>
    </row>
    <row r="6">
      <c r="A6" s="12" t="inlineStr">
        <is>
          <t>Zillow / AXESSO</t>
        </is>
      </c>
      <c r="B6" s="12" t="n">
        <v>1.5</v>
      </c>
      <c r="C6" s="12" t="n">
        <v>16</v>
      </c>
      <c r="D6" s="28" t="n">
        <v>100000</v>
      </c>
      <c r="E6" s="28" t="n">
        <v>6250</v>
      </c>
      <c r="F6" s="28" t="n">
        <v>10417</v>
      </c>
    </row>
    <row r="7">
      <c r="A7" s="10" t="inlineStr">
        <is>
          <t>Redfin (RapidAPI)</t>
        </is>
      </c>
      <c r="B7" s="10" t="n">
        <v>2</v>
      </c>
      <c r="C7" s="10" t="n">
        <v>21</v>
      </c>
      <c r="D7" s="10" t="inlineStr">
        <is>
          <t>~1,000+</t>
        </is>
      </c>
      <c r="E7" s="10" t="inlineStr">
        <is>
          <t>~48+</t>
        </is>
      </c>
      <c r="F7" s="10" t="inlineStr">
        <is>
          <t>~80+</t>
        </is>
      </c>
    </row>
    <row r="8">
      <c r="A8" s="12" t="inlineStr">
        <is>
          <t>Realtor (RapidAPI)</t>
        </is>
      </c>
      <c r="B8" s="12" t="n">
        <v>2</v>
      </c>
      <c r="C8" s="12" t="n">
        <v>21</v>
      </c>
      <c r="D8" s="12" t="inlineStr">
        <is>
          <t>~1,000+</t>
        </is>
      </c>
      <c r="E8" s="12" t="inlineStr">
        <is>
          <t>~48+</t>
        </is>
      </c>
      <c r="F8" s="12" t="inlineStr">
        <is>
          <t>~80+</t>
        </is>
      </c>
    </row>
    <row r="9">
      <c r="A9" s="16" t="inlineStr">
        <is>
          <t>TOTAL</t>
        </is>
      </c>
      <c r="B9" s="16" t="n">
        <v>9.5</v>
      </c>
      <c r="C9" s="16" t="n">
        <v>100</v>
      </c>
      <c r="D9" s="16" t="n"/>
      <c r="E9" s="16" t="n"/>
      <c r="F9" s="16" t="n"/>
    </row>
    <row r="10"/>
    <row r="11">
      <c r="A11" s="8" t="inlineStr">
        <is>
          <t>RENTCAST SCALING ANALYSIS</t>
        </is>
      </c>
    </row>
    <row r="12">
      <c r="A12" s="9" t="inlineStr">
        <is>
          <t>Paid Subs</t>
        </is>
      </c>
      <c r="B12" s="9" t="inlineStr">
        <is>
          <t>Active Subs</t>
        </is>
      </c>
      <c r="C12" s="9" t="inlineStr">
        <is>
          <t>RentCast Calls/Mo</t>
        </is>
      </c>
      <c r="D12" s="9" t="inlineStr">
        <is>
          <t>Within Growth (5K)?</t>
        </is>
      </c>
      <c r="E12" s="9" t="inlineStr">
        <is>
          <t>Growth Overage Cost</t>
        </is>
      </c>
      <c r="F12" s="9" t="inlineStr">
        <is>
          <t>Scale Plan Cost</t>
        </is>
      </c>
      <c r="G12" s="9" t="inlineStr">
        <is>
          <t>Optimal Plan</t>
        </is>
      </c>
      <c r="H12" s="9" t="inlineStr">
        <is>
          <t>Monthly API Cost</t>
        </is>
      </c>
    </row>
    <row r="13">
      <c r="A13" s="10" t="n">
        <v>12</v>
      </c>
      <c r="B13" s="10" t="n">
        <v>7</v>
      </c>
      <c r="C13" s="26" t="n">
        <v>294</v>
      </c>
      <c r="D13" s="32" t="inlineStr">
        <is>
          <t>Yes</t>
        </is>
      </c>
      <c r="E13" s="11" t="n">
        <v>0</v>
      </c>
      <c r="F13" s="11" t="n">
        <v>449</v>
      </c>
      <c r="G13" s="10" t="inlineStr">
        <is>
          <t>Growth ($199)</t>
        </is>
      </c>
      <c r="H13" s="11" t="n">
        <v>199</v>
      </c>
    </row>
    <row r="14">
      <c r="A14" s="12" t="n">
        <v>25</v>
      </c>
      <c r="B14" s="12" t="n">
        <v>15</v>
      </c>
      <c r="C14" s="28" t="n">
        <v>630</v>
      </c>
      <c r="D14" s="32" t="inlineStr">
        <is>
          <t>Yes</t>
        </is>
      </c>
      <c r="E14" s="13" t="n">
        <v>0</v>
      </c>
      <c r="F14" s="13" t="n">
        <v>449</v>
      </c>
      <c r="G14" s="12" t="inlineStr">
        <is>
          <t>Growth ($199)</t>
        </is>
      </c>
      <c r="H14" s="13" t="n">
        <v>199</v>
      </c>
    </row>
    <row r="15">
      <c r="A15" s="10" t="n">
        <v>50</v>
      </c>
      <c r="B15" s="10" t="n">
        <v>30</v>
      </c>
      <c r="C15" s="26" t="n">
        <v>1260</v>
      </c>
      <c r="D15" s="32" t="inlineStr">
        <is>
          <t>Yes</t>
        </is>
      </c>
      <c r="E15" s="11" t="n">
        <v>0</v>
      </c>
      <c r="F15" s="11" t="n">
        <v>449</v>
      </c>
      <c r="G15" s="10" t="inlineStr">
        <is>
          <t>Growth ($199)</t>
        </is>
      </c>
      <c r="H15" s="11" t="n">
        <v>199</v>
      </c>
    </row>
    <row r="16">
      <c r="A16" s="12" t="n">
        <v>100</v>
      </c>
      <c r="B16" s="12" t="n">
        <v>60</v>
      </c>
      <c r="C16" s="28" t="n">
        <v>2520</v>
      </c>
      <c r="D16" s="32" t="inlineStr">
        <is>
          <t>Yes</t>
        </is>
      </c>
      <c r="E16" s="13" t="n">
        <v>0</v>
      </c>
      <c r="F16" s="13" t="n">
        <v>449</v>
      </c>
      <c r="G16" s="12" t="inlineStr">
        <is>
          <t>Growth ($199)</t>
        </is>
      </c>
      <c r="H16" s="13" t="n">
        <v>199</v>
      </c>
    </row>
    <row r="17">
      <c r="A17" s="10" t="n">
        <v>119</v>
      </c>
      <c r="B17" s="10" t="n">
        <v>71</v>
      </c>
      <c r="C17" s="26" t="n">
        <v>4982</v>
      </c>
      <c r="D17" s="33" t="inlineStr">
        <is>
          <t>At limit</t>
        </is>
      </c>
      <c r="E17" s="11" t="n">
        <v>0</v>
      </c>
      <c r="F17" s="11" t="n">
        <v>449</v>
      </c>
      <c r="G17" s="10" t="inlineStr">
        <is>
          <t>Growth ($199)</t>
        </is>
      </c>
      <c r="H17" s="11" t="n">
        <v>199</v>
      </c>
    </row>
    <row r="18">
      <c r="A18" s="12" t="n">
        <v>200</v>
      </c>
      <c r="B18" s="12" t="n">
        <v>120</v>
      </c>
      <c r="C18" s="28" t="n">
        <v>5040</v>
      </c>
      <c r="D18" s="34" t="inlineStr">
        <is>
          <t>NO</t>
        </is>
      </c>
      <c r="E18" s="13" t="n">
        <v>1.2</v>
      </c>
      <c r="F18" s="13" t="n">
        <v>449</v>
      </c>
      <c r="G18" s="12" t="inlineStr">
        <is>
          <t>Growth ($199 + ovg)</t>
        </is>
      </c>
      <c r="H18" s="13" t="n">
        <v>200.2</v>
      </c>
    </row>
    <row r="19">
      <c r="A19" s="10" t="n">
        <v>300</v>
      </c>
      <c r="B19" s="10" t="n">
        <v>180</v>
      </c>
      <c r="C19" s="26" t="n">
        <v>7560</v>
      </c>
      <c r="D19" s="34" t="inlineStr">
        <is>
          <t>NO</t>
        </is>
      </c>
      <c r="E19" s="11" t="n">
        <v>76.8</v>
      </c>
      <c r="F19" s="11" t="n">
        <v>449</v>
      </c>
      <c r="G19" s="10" t="inlineStr">
        <is>
          <t>Scale ($449)</t>
        </is>
      </c>
      <c r="H19" s="11" t="n">
        <v>449</v>
      </c>
    </row>
    <row r="20">
      <c r="A20" s="12" t="n">
        <v>500</v>
      </c>
      <c r="B20" s="12" t="n">
        <v>300</v>
      </c>
      <c r="C20" s="28" t="n">
        <v>12600</v>
      </c>
      <c r="D20" s="34" t="inlineStr">
        <is>
          <t>NO</t>
        </is>
      </c>
      <c r="E20" s="13" t="n">
        <v>228</v>
      </c>
      <c r="F20" s="13" t="n">
        <v>449</v>
      </c>
      <c r="G20" s="12" t="inlineStr">
        <is>
          <t>Scale ($449)</t>
        </is>
      </c>
      <c r="H20" s="13" t="n">
        <v>449</v>
      </c>
    </row>
    <row r="21">
      <c r="A21" s="10" t="n">
        <v>750</v>
      </c>
      <c r="B21" s="10" t="n">
        <v>450</v>
      </c>
      <c r="C21" s="26" t="n">
        <v>18900</v>
      </c>
      <c r="D21" s="34" t="inlineStr">
        <is>
          <t>NO</t>
        </is>
      </c>
      <c r="E21" s="11" t="n">
        <v>417</v>
      </c>
      <c r="F21" s="11" t="n">
        <v>449</v>
      </c>
      <c r="G21" s="10" t="inlineStr">
        <is>
          <t>Scale ($449)</t>
        </is>
      </c>
      <c r="H21" s="11" t="n">
        <v>449</v>
      </c>
    </row>
    <row r="22">
      <c r="A22" s="12" t="n">
        <v>1000</v>
      </c>
      <c r="B22" s="12" t="n">
        <v>600</v>
      </c>
      <c r="C22" s="28" t="n">
        <v>25200</v>
      </c>
      <c r="D22" s="34" t="inlineStr">
        <is>
          <t>NO</t>
        </is>
      </c>
      <c r="E22" s="13" t="n">
        <v>606</v>
      </c>
      <c r="F22" s="13" t="n">
        <v>452</v>
      </c>
      <c r="G22" s="12" t="inlineStr">
        <is>
          <t>Scale ($449 + ovg)</t>
        </is>
      </c>
      <c r="H22" s="13" t="n">
        <v>452</v>
      </c>
    </row>
    <row r="23"/>
    <row r="24">
      <c r="A24" s="8" t="inlineStr">
        <is>
          <t>INFRASTRUCTURE SCALING TRIGGERS</t>
        </is>
      </c>
    </row>
    <row r="25">
      <c r="A25" s="9" t="inlineStr">
        <is>
          <t>Subscriber Threshold</t>
        </is>
      </c>
      <c r="B25" s="9" t="inlineStr">
        <is>
          <t>Trigger</t>
        </is>
      </c>
      <c r="C25" s="9" t="inlineStr">
        <is>
          <t>Action Required</t>
        </is>
      </c>
      <c r="D25" s="9" t="inlineStr">
        <is>
          <t>Monthly Cost Impact</t>
        </is>
      </c>
    </row>
    <row r="26">
      <c r="A26" s="10" t="inlineStr">
        <is>
          <t>~80 subs</t>
        </is>
      </c>
      <c r="B26" s="10" t="inlineStr">
        <is>
          <t>RapidAPI quotas (verify)</t>
        </is>
      </c>
      <c r="C26" s="10" t="inlineStr">
        <is>
          <t>Upgrade Redfin + Realtor plans</t>
        </is>
      </c>
      <c r="D26" s="10" t="inlineStr">
        <is>
          <t>+$20–50/mo each</t>
        </is>
      </c>
    </row>
    <row r="27">
      <c r="A27" s="12" t="inlineStr">
        <is>
          <t>~200 subs</t>
        </is>
      </c>
      <c r="B27" s="12" t="inlineStr">
        <is>
          <t>RentCast 5K limit</t>
        </is>
      </c>
      <c r="C27" s="12" t="inlineStr">
        <is>
          <t>Pay overage or evaluate Scale</t>
        </is>
      </c>
      <c r="D27" s="12" t="inlineStr">
        <is>
          <t>+$0–250/mo</t>
        </is>
      </c>
    </row>
    <row r="28">
      <c r="A28" s="10" t="inlineStr">
        <is>
          <t>~300 subs</t>
        </is>
      </c>
      <c r="B28" s="10" t="inlineStr">
        <is>
          <t>RentCast overage &gt; Scale cost</t>
        </is>
      </c>
      <c r="C28" s="10" t="inlineStr">
        <is>
          <t>Upgrade to Scale ($449)</t>
        </is>
      </c>
      <c r="D28" s="10" t="inlineStr">
        <is>
          <t>+$250/mo</t>
        </is>
      </c>
    </row>
    <row r="29">
      <c r="A29" s="12" t="inlineStr">
        <is>
          <t>~500 subs</t>
        </is>
      </c>
      <c r="B29" s="12" t="inlineStr">
        <is>
          <t>Railway compute scaling</t>
        </is>
      </c>
      <c r="C29" s="12" t="inlineStr">
        <is>
          <t>Higher resource consumption</t>
        </is>
      </c>
      <c r="D29" s="12" t="inlineStr">
        <is>
          <t>+$20–80/mo</t>
        </is>
      </c>
    </row>
    <row r="30">
      <c r="A30" s="10" t="inlineStr">
        <is>
          <t>~500 subs</t>
        </is>
      </c>
      <c r="B30" s="10" t="inlineStr">
        <is>
          <t>Expo 3K MAU limit</t>
        </is>
      </c>
      <c r="C30" s="10" t="inlineStr">
        <is>
          <t>Upgrade to Production ($199)</t>
        </is>
      </c>
      <c r="D30" s="10" t="inlineStr">
        <is>
          <t>+$180/mo</t>
        </is>
      </c>
    </row>
    <row r="31">
      <c r="A31" s="12" t="inlineStr">
        <is>
          <t>~1,000 subs</t>
        </is>
      </c>
      <c r="B31" s="12" t="inlineStr">
        <is>
          <t>Vercel bandwidth/functions</t>
        </is>
      </c>
      <c r="C31" s="12" t="inlineStr">
        <is>
          <t>Team or Enterprise plan</t>
        </is>
      </c>
      <c r="D31" s="12" t="inlineStr">
        <is>
          <t>+$20–100/mo</t>
        </is>
      </c>
    </row>
    <row r="32">
      <c r="A32" s="10" t="inlineStr">
        <is>
          <t>~2,500 subs</t>
        </is>
      </c>
      <c r="B32" s="10" t="inlineStr">
        <is>
          <t>RevenueCat $2,500 MTR</t>
        </is>
      </c>
      <c r="C32" s="10" t="inlineStr">
        <is>
          <t>1% of mobile MTR</t>
        </is>
      </c>
      <c r="D32" s="10" t="inlineStr">
        <is>
          <t>~$25–100/mo</t>
        </is>
      </c>
    </row>
    <row r="33">
      <c r="A33" s="12" t="inlineStr">
        <is>
          <t>~5,000 subs</t>
        </is>
      </c>
      <c r="B33" s="12" t="inlineStr">
        <is>
          <t>Zillow 100K limit</t>
        </is>
      </c>
      <c r="C33" s="12" t="inlineStr">
        <is>
          <t>Upgrade to Business (€150)</t>
        </is>
      </c>
      <c r="D33" s="12" t="inlineStr">
        <is>
          <t>+$82/mo</t>
        </is>
      </c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B5CF6"/>
    <outlinePr summaryBelow="1" summaryRight="1"/>
    <pageSetUpPr/>
  </sheetPr>
  <dimension ref="A1:G33"/>
  <sheetViews>
    <sheetView showGridLines="0" workbookViewId="0">
      <selection activeCell="A1" sqref="A1"/>
    </sheetView>
  </sheetViews>
  <sheetFormatPr baseColWidth="8" defaultRowHeight="15"/>
  <cols>
    <col width="35" customWidth="1" min="1" max="1"/>
    <col width="21" customWidth="1" min="2" max="2"/>
    <col width="17" customWidth="1" min="3" max="3"/>
    <col width="24" customWidth="1" min="4" max="4"/>
    <col width="27" customWidth="1" min="5" max="5"/>
    <col width="12" customWidth="1" min="6" max="6"/>
    <col width="12" customWidth="1" min="7" max="7"/>
  </cols>
  <sheetData>
    <row r="1">
      <c r="A1" s="19" t="inlineStr">
        <is>
          <t>Breakeven Sensitivity Analysis</t>
        </is>
      </c>
    </row>
    <row r="2"/>
    <row r="3">
      <c r="A3" s="8" t="inlineStr">
        <is>
          <t>BREAKEVEN BY CHANNEL MIX</t>
        </is>
      </c>
    </row>
    <row r="4">
      <c r="A4" s="9" t="inlineStr">
        <is>
          <t>Scenario</t>
        </is>
      </c>
      <c r="B4" s="9" t="inlineStr">
        <is>
          <t>Blended Net ARPU</t>
        </is>
      </c>
      <c r="C4" s="9" t="inlineStr">
        <is>
          <t>Fixed Costs</t>
        </is>
      </c>
      <c r="D4" s="9" t="inlineStr">
        <is>
          <t>Breakeven Subs</t>
        </is>
      </c>
    </row>
    <row r="5">
      <c r="A5" s="10" t="inlineStr">
        <is>
          <t>100% Web Monthly (best case)</t>
        </is>
      </c>
      <c r="B5" s="11" t="n">
        <v>38.53</v>
      </c>
      <c r="C5" s="11" t="n">
        <v>386.83</v>
      </c>
      <c r="D5" s="10" t="n">
        <v>11</v>
      </c>
    </row>
    <row r="6">
      <c r="A6" s="12" t="inlineStr">
        <is>
          <t>100% Web Annual</t>
        </is>
      </c>
      <c r="B6" s="13" t="n">
        <v>28.3</v>
      </c>
      <c r="C6" s="13" t="n">
        <v>386.83</v>
      </c>
      <c r="D6" s="12" t="n">
        <v>14</v>
      </c>
    </row>
    <row r="7">
      <c r="A7" s="10" t="inlineStr">
        <is>
          <t>Blended (base case)</t>
        </is>
      </c>
      <c r="B7" s="11" t="n">
        <v>34.12</v>
      </c>
      <c r="C7" s="11" t="n">
        <v>386.83</v>
      </c>
      <c r="D7" s="10" t="n">
        <v>12</v>
      </c>
    </row>
    <row r="8">
      <c r="A8" s="12" t="inlineStr">
        <is>
          <t>100% iOS Monthly</t>
        </is>
      </c>
      <c r="B8" s="13" t="n">
        <v>33.99</v>
      </c>
      <c r="C8" s="13" t="n">
        <v>386.83</v>
      </c>
      <c r="D8" s="12" t="n">
        <v>12</v>
      </c>
    </row>
    <row r="9">
      <c r="A9" s="10" t="inlineStr">
        <is>
          <t>100% iOS Annual (worst case)</t>
        </is>
      </c>
      <c r="B9" s="11" t="n">
        <v>24.79</v>
      </c>
      <c r="C9" s="11" t="n">
        <v>386.83</v>
      </c>
      <c r="D9" s="10" t="n">
        <v>16</v>
      </c>
    </row>
    <row r="10">
      <c r="A10" s="12" t="inlineStr">
        <is>
          <t>Heavy mobile (40% mobile)</t>
        </is>
      </c>
      <c r="B10" s="13" t="n">
        <v>31.95</v>
      </c>
      <c r="C10" s="13" t="n">
        <v>386.83</v>
      </c>
      <c r="D10" s="12" t="n">
        <v>13</v>
      </c>
    </row>
    <row r="11">
      <c r="A11" s="10" t="inlineStr">
        <is>
          <t>Heavy annual (70% annual)</t>
        </is>
      </c>
      <c r="B11" s="11" t="n">
        <v>30.24</v>
      </c>
      <c r="C11" s="11" t="n">
        <v>386.83</v>
      </c>
      <c r="D11" s="10" t="n">
        <v>13</v>
      </c>
    </row>
    <row r="12"/>
    <row r="13">
      <c r="A13" s="8" t="inlineStr">
        <is>
          <t>BREAKEVEN BY PRICE POINT (Web Monthly Only)</t>
        </is>
      </c>
    </row>
    <row r="14">
      <c r="A14" s="9" t="inlineStr">
        <is>
          <t>Monthly Price</t>
        </is>
      </c>
      <c r="B14" s="9" t="inlineStr">
        <is>
          <t>Stripe Net</t>
        </is>
      </c>
      <c r="C14" s="9" t="inlineStr">
        <is>
          <t>Breakeven Subs</t>
        </is>
      </c>
      <c r="D14" s="9" t="inlineStr">
        <is>
          <t>Monthly Rev @ 50 Subs</t>
        </is>
      </c>
      <c r="E14" s="9" t="inlineStr">
        <is>
          <t>Annual Rev @ 50 Subs</t>
        </is>
      </c>
    </row>
    <row r="15">
      <c r="A15" s="11" t="n">
        <v>19.99</v>
      </c>
      <c r="B15" s="11" t="n">
        <v>19.11029</v>
      </c>
      <c r="C15" s="10" t="n">
        <v>21</v>
      </c>
      <c r="D15" s="11" t="n">
        <v>955.5144999999998</v>
      </c>
      <c r="E15" s="11" t="n">
        <v>11466.174</v>
      </c>
    </row>
    <row r="16">
      <c r="A16" s="13" t="n">
        <v>24.99</v>
      </c>
      <c r="B16" s="13" t="n">
        <v>23.96529</v>
      </c>
      <c r="C16" s="12" t="n">
        <v>17</v>
      </c>
      <c r="D16" s="13" t="n">
        <v>1198.2645</v>
      </c>
      <c r="E16" s="13" t="n">
        <v>14379.174</v>
      </c>
    </row>
    <row r="17">
      <c r="A17" s="11" t="n">
        <v>29.99</v>
      </c>
      <c r="B17" s="11" t="n">
        <v>28.82029</v>
      </c>
      <c r="C17" s="10" t="n">
        <v>14</v>
      </c>
      <c r="D17" s="11" t="n">
        <v>1441.0145</v>
      </c>
      <c r="E17" s="11" t="n">
        <v>17292.174</v>
      </c>
    </row>
    <row r="18">
      <c r="A18" s="13" t="n">
        <v>34.99</v>
      </c>
      <c r="B18" s="13" t="n">
        <v>33.67529</v>
      </c>
      <c r="C18" s="12" t="n">
        <v>12</v>
      </c>
      <c r="D18" s="13" t="n">
        <v>1683.7645</v>
      </c>
      <c r="E18" s="13" t="n">
        <v>20205.174</v>
      </c>
    </row>
    <row r="19">
      <c r="A19" s="35" t="n">
        <v>39.99</v>
      </c>
      <c r="B19" s="35" t="n">
        <v>38.53029</v>
      </c>
      <c r="C19" s="36" t="n">
        <v>11</v>
      </c>
      <c r="D19" s="35" t="n">
        <v>1926.5145</v>
      </c>
      <c r="E19" s="35" t="n">
        <v>23118.174</v>
      </c>
    </row>
    <row r="20">
      <c r="A20" s="13" t="n">
        <v>44.99</v>
      </c>
      <c r="B20" s="13" t="n">
        <v>43.38529</v>
      </c>
      <c r="C20" s="12" t="n">
        <v>9</v>
      </c>
      <c r="D20" s="13" t="n">
        <v>2169.2645</v>
      </c>
      <c r="E20" s="13" t="n">
        <v>26031.174</v>
      </c>
    </row>
    <row r="21">
      <c r="A21" s="11" t="n">
        <v>49.99</v>
      </c>
      <c r="B21" s="11" t="n">
        <v>48.24029</v>
      </c>
      <c r="C21" s="10" t="n">
        <v>9</v>
      </c>
      <c r="D21" s="11" t="n">
        <v>2412.0145</v>
      </c>
      <c r="E21" s="11" t="n">
        <v>28944.174</v>
      </c>
    </row>
    <row r="22">
      <c r="A22" s="13" t="n">
        <v>59.99</v>
      </c>
      <c r="B22" s="13" t="n">
        <v>57.95029</v>
      </c>
      <c r="C22" s="12" t="n">
        <v>7</v>
      </c>
      <c r="D22" s="13" t="n">
        <v>2897.5145</v>
      </c>
      <c r="E22" s="13" t="n">
        <v>34770.174</v>
      </c>
    </row>
    <row r="23">
      <c r="A23" s="11" t="n">
        <v>79.98999999999999</v>
      </c>
      <c r="B23" s="11" t="n">
        <v>77.37029</v>
      </c>
      <c r="C23" s="10" t="n">
        <v>5</v>
      </c>
      <c r="D23" s="11" t="n">
        <v>3868.5145</v>
      </c>
      <c r="E23" s="11" t="n">
        <v>46422.174</v>
      </c>
    </row>
    <row r="24"/>
    <row r="25">
      <c r="A25" s="8" t="inlineStr">
        <is>
          <t>SUBSCRIBER RETENTION IMPACT (Starting: 50 subs)</t>
        </is>
      </c>
    </row>
    <row r="26">
      <c r="A26" s="9" t="inlineStr">
        <is>
          <t>Monthly Churn</t>
        </is>
      </c>
      <c r="B26" s="9" t="inlineStr">
        <is>
          <t>Avg Lifetime (mo)</t>
        </is>
      </c>
      <c r="C26" s="9" t="inlineStr">
        <is>
          <t>LTV (Net)</t>
        </is>
      </c>
      <c r="D26" s="9" t="inlineStr">
        <is>
          <t>12-Mo Retained Subs</t>
        </is>
      </c>
      <c r="E26" s="9" t="inlineStr">
        <is>
          <t>12-Mo Cumulative Revenue</t>
        </is>
      </c>
    </row>
    <row r="27">
      <c r="A27" s="15" t="n">
        <v>0.03</v>
      </c>
      <c r="B27" s="37" t="n">
        <v>33.3</v>
      </c>
      <c r="C27" s="11" t="n">
        <v>1137.33</v>
      </c>
      <c r="D27" s="26" t="n">
        <v>35</v>
      </c>
      <c r="E27" s="11" t="n">
        <v>17410</v>
      </c>
    </row>
    <row r="28">
      <c r="A28" s="14" t="n">
        <v>0.05</v>
      </c>
      <c r="B28" s="38" t="n">
        <v>20</v>
      </c>
      <c r="C28" s="13" t="n">
        <v>682.4</v>
      </c>
      <c r="D28" s="28" t="n">
        <v>27</v>
      </c>
      <c r="E28" s="13" t="n">
        <v>15683</v>
      </c>
    </row>
    <row r="29">
      <c r="A29" s="15" t="n">
        <v>0.07000000000000001</v>
      </c>
      <c r="B29" s="37" t="n">
        <v>14.3</v>
      </c>
      <c r="C29" s="11" t="n">
        <v>487.43</v>
      </c>
      <c r="D29" s="26" t="n">
        <v>21</v>
      </c>
      <c r="E29" s="11" t="n">
        <v>14170</v>
      </c>
    </row>
    <row r="30">
      <c r="A30" s="14" t="n">
        <v>0.1</v>
      </c>
      <c r="B30" s="38" t="n">
        <v>10</v>
      </c>
      <c r="C30" s="13" t="n">
        <v>341.2</v>
      </c>
      <c r="D30" s="28" t="n">
        <v>14</v>
      </c>
      <c r="E30" s="13" t="n">
        <v>12242</v>
      </c>
    </row>
    <row r="31">
      <c r="A31" s="15" t="n">
        <v>0.12</v>
      </c>
      <c r="B31" s="37" t="n">
        <v>8.300000000000001</v>
      </c>
      <c r="C31" s="11" t="n">
        <v>284.33</v>
      </c>
      <c r="D31" s="26" t="n">
        <v>11</v>
      </c>
      <c r="E31" s="11" t="n">
        <v>11151</v>
      </c>
    </row>
    <row r="32">
      <c r="A32" s="14" t="n">
        <v>0.15</v>
      </c>
      <c r="B32" s="38" t="n">
        <v>6.7</v>
      </c>
      <c r="C32" s="13" t="n">
        <v>227.47</v>
      </c>
      <c r="D32" s="28" t="n">
        <v>7</v>
      </c>
      <c r="E32" s="13" t="n">
        <v>9756</v>
      </c>
    </row>
    <row r="33">
      <c r="A33" s="15" t="n">
        <v>0.2</v>
      </c>
      <c r="B33" s="37" t="n">
        <v>5</v>
      </c>
      <c r="C33" s="11" t="n">
        <v>170.6</v>
      </c>
      <c r="D33" s="26" t="n">
        <v>3</v>
      </c>
      <c r="E33" s="11" t="n">
        <v>7944</v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2C55E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9" t="inlineStr">
        <is>
          <t>12-Month Financial Projection</t>
        </is>
      </c>
    </row>
    <row r="2"/>
    <row r="3">
      <c r="A3" s="8" t="inlineStr">
        <is>
          <t>GROWTH ASSUMPTIONS</t>
        </is>
      </c>
    </row>
    <row r="4">
      <c r="A4" s="20" t="inlineStr">
        <is>
          <t>Starting subscribers (Month 1)</t>
        </is>
      </c>
      <c r="B4" s="39" t="n">
        <v>5</v>
      </c>
    </row>
    <row r="5">
      <c r="A5" s="20" t="inlineStr">
        <is>
          <t>Monthly subscriber growth rate</t>
        </is>
      </c>
      <c r="B5" s="22" t="n">
        <v>0.25</v>
      </c>
    </row>
    <row r="6">
      <c r="A6" s="20" t="inlineStr">
        <is>
          <t>Monthly churn rate</t>
        </is>
      </c>
      <c r="B6" s="22" t="n">
        <v>0.07000000000000001</v>
      </c>
    </row>
    <row r="7"/>
    <row r="8">
      <c r="A8" s="9" t="inlineStr"/>
      <c r="B8" s="9" t="inlineStr">
        <is>
          <t>Mo 1</t>
        </is>
      </c>
      <c r="C8" s="9" t="inlineStr">
        <is>
          <t>Mo 2</t>
        </is>
      </c>
      <c r="D8" s="9" t="inlineStr">
        <is>
          <t>Mo 3</t>
        </is>
      </c>
      <c r="E8" s="9" t="inlineStr">
        <is>
          <t>Mo 4</t>
        </is>
      </c>
      <c r="F8" s="9" t="inlineStr">
        <is>
          <t>Mo 5</t>
        </is>
      </c>
      <c r="G8" s="9" t="inlineStr">
        <is>
          <t>Mo 6</t>
        </is>
      </c>
      <c r="H8" s="9" t="inlineStr">
        <is>
          <t>Mo 7</t>
        </is>
      </c>
      <c r="I8" s="9" t="inlineStr">
        <is>
          <t>Mo 8</t>
        </is>
      </c>
      <c r="J8" s="9" t="inlineStr">
        <is>
          <t>Mo 9</t>
        </is>
      </c>
      <c r="K8" s="9" t="inlineStr">
        <is>
          <t>Mo 10</t>
        </is>
      </c>
      <c r="L8" s="9" t="inlineStr">
        <is>
          <t>Mo 11</t>
        </is>
      </c>
      <c r="M8" s="9" t="inlineStr">
        <is>
          <t>Mo 12</t>
        </is>
      </c>
      <c r="N8" s="9" t="inlineStr">
        <is>
          <t>TOTAL</t>
        </is>
      </c>
    </row>
    <row r="9">
      <c r="A9" s="10" t="inlineStr">
        <is>
          <t>New Subscribers</t>
        </is>
      </c>
      <c r="B9" s="40" t="n">
        <v>5</v>
      </c>
      <c r="C9" s="40" t="n">
        <v>2</v>
      </c>
      <c r="D9" s="40" t="n">
        <v>2</v>
      </c>
      <c r="E9" s="40" t="n">
        <v>2</v>
      </c>
      <c r="F9" s="40" t="n">
        <v>2</v>
      </c>
      <c r="G9" s="40" t="n">
        <v>3</v>
      </c>
      <c r="H9" s="40" t="n">
        <v>3</v>
      </c>
      <c r="I9" s="40" t="n">
        <v>4</v>
      </c>
      <c r="J9" s="40" t="n">
        <v>4</v>
      </c>
      <c r="K9" s="40" t="n">
        <v>5</v>
      </c>
      <c r="L9" s="40" t="n">
        <v>6</v>
      </c>
      <c r="M9" s="40" t="n">
        <v>7</v>
      </c>
      <c r="N9" s="40" t="n">
        <v>45</v>
      </c>
    </row>
    <row r="10">
      <c r="A10" s="10" t="inlineStr">
        <is>
          <t>Churned Subscribers</t>
        </is>
      </c>
      <c r="B10" s="40" t="n">
        <v>0</v>
      </c>
      <c r="C10" s="40" t="n">
        <v>1</v>
      </c>
      <c r="D10" s="40" t="n">
        <v>1</v>
      </c>
      <c r="E10" s="40" t="n">
        <v>1</v>
      </c>
      <c r="F10" s="40" t="n">
        <v>1</v>
      </c>
      <c r="G10" s="40" t="n">
        <v>1</v>
      </c>
      <c r="H10" s="40" t="n">
        <v>1</v>
      </c>
      <c r="I10" s="40" t="n">
        <v>1</v>
      </c>
      <c r="J10" s="40" t="n">
        <v>2</v>
      </c>
      <c r="K10" s="40" t="n">
        <v>2</v>
      </c>
      <c r="L10" s="40" t="n">
        <v>2</v>
      </c>
      <c r="M10" s="40" t="n">
        <v>2</v>
      </c>
      <c r="N10" s="40" t="n">
        <v>15</v>
      </c>
    </row>
    <row r="11">
      <c r="A11" s="41" t="inlineStr">
        <is>
          <t>Ending Subscribers</t>
        </is>
      </c>
      <c r="B11" s="42" t="n">
        <v>5</v>
      </c>
      <c r="C11" s="42" t="n">
        <v>6</v>
      </c>
      <c r="D11" s="42" t="n">
        <v>7</v>
      </c>
      <c r="E11" s="42" t="n">
        <v>8</v>
      </c>
      <c r="F11" s="42" t="n">
        <v>9</v>
      </c>
      <c r="G11" s="42" t="n">
        <v>11</v>
      </c>
      <c r="H11" s="42" t="n">
        <v>13</v>
      </c>
      <c r="I11" s="42" t="n">
        <v>16</v>
      </c>
      <c r="J11" s="42" t="n">
        <v>18</v>
      </c>
      <c r="K11" s="42" t="n">
        <v>21</v>
      </c>
      <c r="L11" s="42" t="n">
        <v>25</v>
      </c>
      <c r="M11" s="42" t="n">
        <v>30</v>
      </c>
      <c r="N11" s="42" t="n">
        <v>30</v>
      </c>
    </row>
    <row r="12">
      <c r="A12" t="inlineStr"/>
    </row>
    <row r="13">
      <c r="A13" s="10" t="inlineStr">
        <is>
          <t>Gross Revenue</t>
        </is>
      </c>
      <c r="B13" s="43" t="n">
        <v>184.95</v>
      </c>
      <c r="C13" s="43" t="n">
        <v>221.94</v>
      </c>
      <c r="D13" s="43" t="n">
        <v>258.93</v>
      </c>
      <c r="E13" s="43" t="n">
        <v>295.92</v>
      </c>
      <c r="F13" s="43" t="n">
        <v>332.91</v>
      </c>
      <c r="G13" s="43" t="n">
        <v>406.89</v>
      </c>
      <c r="H13" s="43" t="n">
        <v>480.87</v>
      </c>
      <c r="I13" s="43" t="n">
        <v>591.84</v>
      </c>
      <c r="J13" s="43" t="n">
        <v>665.8200000000001</v>
      </c>
      <c r="K13" s="43" t="n">
        <v>776.79</v>
      </c>
      <c r="L13" s="43" t="n">
        <v>924.75</v>
      </c>
      <c r="M13" s="43" t="n">
        <v>1109.7</v>
      </c>
      <c r="N13" s="43" t="n">
        <v>6251.31</v>
      </c>
    </row>
    <row r="14">
      <c r="A14" s="41" t="inlineStr">
        <is>
          <t>Net Revenue</t>
        </is>
      </c>
      <c r="B14" s="44" t="n">
        <v>170.6</v>
      </c>
      <c r="C14" s="44" t="n">
        <v>204.72</v>
      </c>
      <c r="D14" s="44" t="n">
        <v>238.84</v>
      </c>
      <c r="E14" s="44" t="n">
        <v>272.96</v>
      </c>
      <c r="F14" s="44" t="n">
        <v>307.08</v>
      </c>
      <c r="G14" s="44" t="n">
        <v>375.32</v>
      </c>
      <c r="H14" s="44" t="n">
        <v>443.56</v>
      </c>
      <c r="I14" s="44" t="n">
        <v>545.92</v>
      </c>
      <c r="J14" s="44" t="n">
        <v>614.16</v>
      </c>
      <c r="K14" s="44" t="n">
        <v>716.52</v>
      </c>
      <c r="L14" s="44" t="n">
        <v>853</v>
      </c>
      <c r="M14" s="44" t="n">
        <v>1023.6</v>
      </c>
      <c r="N14" s="44" t="n">
        <v>5766.28</v>
      </c>
    </row>
    <row r="15">
      <c r="A15" s="10" t="inlineStr">
        <is>
          <t>Fixed Costs</t>
        </is>
      </c>
      <c r="B15" s="43" t="n">
        <v>386.83</v>
      </c>
      <c r="C15" s="43" t="n">
        <v>386.83</v>
      </c>
      <c r="D15" s="43" t="n">
        <v>386.83</v>
      </c>
      <c r="E15" s="43" t="n">
        <v>386.83</v>
      </c>
      <c r="F15" s="43" t="n">
        <v>386.83</v>
      </c>
      <c r="G15" s="43" t="n">
        <v>386.83</v>
      </c>
      <c r="H15" s="43" t="n">
        <v>386.83</v>
      </c>
      <c r="I15" s="43" t="n">
        <v>386.83</v>
      </c>
      <c r="J15" s="43" t="n">
        <v>386.83</v>
      </c>
      <c r="K15" s="43" t="n">
        <v>386.83</v>
      </c>
      <c r="L15" s="43" t="n">
        <v>386.83</v>
      </c>
      <c r="M15" s="43" t="n">
        <v>386.83</v>
      </c>
      <c r="N15" s="43" t="n">
        <v>4641.96</v>
      </c>
    </row>
    <row r="16">
      <c r="A16" s="10" t="inlineStr">
        <is>
          <t>Variable Costs</t>
        </is>
      </c>
      <c r="B16" s="43" t="n">
        <v>0.45</v>
      </c>
      <c r="C16" s="43" t="n">
        <v>0.6</v>
      </c>
      <c r="D16" s="43" t="n">
        <v>0.75</v>
      </c>
      <c r="E16" s="43" t="n">
        <v>0.75</v>
      </c>
      <c r="F16" s="43" t="n">
        <v>0.9</v>
      </c>
      <c r="G16" s="43" t="n">
        <v>1.05</v>
      </c>
      <c r="H16" s="43" t="n">
        <v>1.2</v>
      </c>
      <c r="I16" s="43" t="n">
        <v>1.5</v>
      </c>
      <c r="J16" s="43" t="n">
        <v>1.65</v>
      </c>
      <c r="K16" s="43" t="n">
        <v>1.95</v>
      </c>
      <c r="L16" s="43" t="n">
        <v>2.25</v>
      </c>
      <c r="M16" s="43" t="n">
        <v>2.7</v>
      </c>
      <c r="N16" s="43" t="n">
        <v>15.75</v>
      </c>
    </row>
    <row r="17">
      <c r="A17" s="41" t="inlineStr">
        <is>
          <t>Total Costs</t>
        </is>
      </c>
      <c r="B17" s="44" t="n">
        <v>387.28</v>
      </c>
      <c r="C17" s="44" t="n">
        <v>387.43</v>
      </c>
      <c r="D17" s="44" t="n">
        <v>387.58</v>
      </c>
      <c r="E17" s="44" t="n">
        <v>387.58</v>
      </c>
      <c r="F17" s="44" t="n">
        <v>387.73</v>
      </c>
      <c r="G17" s="44" t="n">
        <v>387.88</v>
      </c>
      <c r="H17" s="44" t="n">
        <v>388.03</v>
      </c>
      <c r="I17" s="44" t="n">
        <v>388.33</v>
      </c>
      <c r="J17" s="44" t="n">
        <v>388.48</v>
      </c>
      <c r="K17" s="44" t="n">
        <v>388.78</v>
      </c>
      <c r="L17" s="44" t="n">
        <v>389.08</v>
      </c>
      <c r="M17" s="44" t="n">
        <v>389.53</v>
      </c>
      <c r="N17" s="44" t="n">
        <v>4657.71</v>
      </c>
    </row>
    <row r="18">
      <c r="A18" t="inlineStr">
        <is>
          <t xml:space="preserve"> </t>
        </is>
      </c>
    </row>
    <row r="19">
      <c r="A19" s="41" t="inlineStr">
        <is>
          <t>Net Profit/Loss</t>
        </is>
      </c>
      <c r="B19" s="27" t="n">
        <v>-216.68</v>
      </c>
      <c r="C19" s="27" t="n">
        <v>-182.71</v>
      </c>
      <c r="D19" s="27" t="n">
        <v>-148.74</v>
      </c>
      <c r="E19" s="27" t="n">
        <v>-114.62</v>
      </c>
      <c r="F19" s="27" t="n">
        <v>-80.65000000000001</v>
      </c>
      <c r="G19" s="27" t="n">
        <v>-12.56</v>
      </c>
      <c r="H19" s="31" t="n">
        <v>55.53</v>
      </c>
      <c r="I19" s="31" t="n">
        <v>157.59</v>
      </c>
      <c r="J19" s="31" t="n">
        <v>225.68</v>
      </c>
      <c r="K19" s="31" t="n">
        <v>327.74</v>
      </c>
      <c r="L19" s="31" t="n">
        <v>463.92</v>
      </c>
      <c r="M19" s="31" t="n">
        <v>634.0700000000001</v>
      </c>
      <c r="N19" s="31" t="n">
        <v>1108.57</v>
      </c>
    </row>
    <row r="20">
      <c r="A20" s="41" t="inlineStr">
        <is>
          <t>Cumulative P/L</t>
        </is>
      </c>
      <c r="B20" s="45" t="n">
        <v>-216.68</v>
      </c>
      <c r="C20" s="45" t="n">
        <v>-399.39</v>
      </c>
      <c r="D20" s="45" t="n">
        <v>-548.13</v>
      </c>
      <c r="E20" s="45" t="n">
        <v>-662.75</v>
      </c>
      <c r="F20" s="45" t="n">
        <v>-743.4</v>
      </c>
      <c r="G20" s="45" t="n">
        <v>-755.96</v>
      </c>
      <c r="H20" s="45" t="n">
        <v>-700.4299999999999</v>
      </c>
      <c r="I20" s="45" t="n">
        <v>-542.84</v>
      </c>
      <c r="J20" s="45" t="n">
        <v>-317.16</v>
      </c>
      <c r="K20" s="45" t="n">
        <v>10.58</v>
      </c>
      <c r="L20" s="45" t="n">
        <v>474.5</v>
      </c>
      <c r="M20" s="45" t="n">
        <v>1108.57</v>
      </c>
      <c r="N20" s="45" t="n">
        <v>-3293.09</v>
      </c>
    </row>
    <row r="21">
      <c r="A21" s="10" t="inlineStr">
        <is>
          <t>Operating Margin</t>
        </is>
      </c>
      <c r="B21" s="46" t="n">
        <v>-1.27010550996483</v>
      </c>
      <c r="C21" s="46" t="n">
        <v>-0.8924872997264559</v>
      </c>
      <c r="D21" s="46" t="n">
        <v>-0.6227600066990455</v>
      </c>
      <c r="E21" s="46" t="n">
        <v>-0.4199150058616647</v>
      </c>
      <c r="F21" s="46" t="n">
        <v>-0.2626351439364334</v>
      </c>
      <c r="G21" s="46" t="n">
        <v>-0.03346477672386231</v>
      </c>
      <c r="H21" s="46" t="n">
        <v>0.1251916313463793</v>
      </c>
      <c r="I21" s="46" t="n">
        <v>0.2886686694021102</v>
      </c>
      <c r="J21" s="46" t="n">
        <v>0.3674612478832878</v>
      </c>
      <c r="K21" s="46" t="n">
        <v>0.4574052364204768</v>
      </c>
      <c r="L21" s="46" t="n">
        <v>0.5438686987104338</v>
      </c>
      <c r="M21" s="46" t="n">
        <v>0.6194509574052364</v>
      </c>
      <c r="N21" s="46" t="n">
        <v>0.1922504630368279</v>
      </c>
    </row>
  </sheetData>
  <mergeCells count="1"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8B5CF6"/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3" customWidth="1" min="2" max="2"/>
    <col width="24" customWidth="1" min="3" max="3"/>
    <col width="24" customWidth="1" min="4" max="4"/>
    <col width="14" customWidth="1" min="5" max="5"/>
  </cols>
  <sheetData>
    <row r="1">
      <c r="A1" s="19" t="inlineStr">
        <is>
          <t>3-Year Annual Projection</t>
        </is>
      </c>
    </row>
    <row r="2"/>
    <row r="3">
      <c r="A3" s="9" t="inlineStr">
        <is>
          <t>Metric</t>
        </is>
      </c>
      <c r="B3" s="9" t="inlineStr">
        <is>
          <t>Year 1 (avg 30 subs)</t>
        </is>
      </c>
      <c r="C3" s="9" t="inlineStr">
        <is>
          <t>Year 2 (avg 150 subs)</t>
        </is>
      </c>
      <c r="D3" s="9" t="inlineStr">
        <is>
          <t>Year 3 (avg 500 subs)</t>
        </is>
      </c>
    </row>
    <row r="4">
      <c r="A4" s="10" t="inlineStr">
        <is>
          <t>Avg Paid Subscribers</t>
        </is>
      </c>
      <c r="B4" s="26" t="n">
        <v>30</v>
      </c>
      <c r="C4" s="26" t="n">
        <v>150</v>
      </c>
      <c r="D4" s="26" t="n">
        <v>500</v>
      </c>
    </row>
    <row r="5">
      <c r="A5" t="inlineStr"/>
    </row>
    <row r="6">
      <c r="A6" s="10" t="inlineStr">
        <is>
          <t>Annual Gross Revenue</t>
        </is>
      </c>
      <c r="B6" s="47" t="n">
        <v>13320</v>
      </c>
      <c r="C6" s="47" t="n">
        <v>66600</v>
      </c>
      <c r="D6" s="47" t="n">
        <v>222000</v>
      </c>
    </row>
    <row r="7">
      <c r="A7" s="12" t="inlineStr">
        <is>
          <t>Payment Processing Fees</t>
        </is>
      </c>
      <c r="B7" s="48" t="n">
        <v>-1037</v>
      </c>
      <c r="C7" s="48" t="n">
        <v>-5184</v>
      </c>
      <c r="D7" s="48" t="n">
        <v>-17280</v>
      </c>
    </row>
    <row r="8">
      <c r="A8" s="16" t="inlineStr">
        <is>
          <t>Annual Net Revenue</t>
        </is>
      </c>
      <c r="B8" s="49" t="n">
        <v>12283</v>
      </c>
      <c r="C8" s="49" t="n">
        <v>61416</v>
      </c>
      <c r="D8" s="49" t="n">
        <v>204720</v>
      </c>
    </row>
    <row r="9">
      <c r="A9" t="inlineStr"/>
    </row>
    <row r="10">
      <c r="A10" s="10" t="inlineStr">
        <is>
          <t>Infrastructure (fixed)</t>
        </is>
      </c>
      <c r="B10" s="47" t="n">
        <v>-4642</v>
      </c>
      <c r="C10" s="47" t="n">
        <v>-6444</v>
      </c>
      <c r="D10" s="47" t="n">
        <v>-12204</v>
      </c>
    </row>
    <row r="11">
      <c r="A11" s="12" t="inlineStr">
        <is>
          <t>Variable API Costs</t>
        </is>
      </c>
      <c r="B11" s="48" t="n">
        <v>-60</v>
      </c>
      <c r="C11" s="48" t="n">
        <v>-1140</v>
      </c>
      <c r="D11" s="48" t="n">
        <v>-10080</v>
      </c>
    </row>
    <row r="12">
      <c r="A12" s="10" t="inlineStr">
        <is>
          <t>Anthropic AI</t>
        </is>
      </c>
      <c r="B12" s="47" t="n">
        <v>-54</v>
      </c>
      <c r="C12" s="47" t="n">
        <v>-270</v>
      </c>
      <c r="D12" s="47" t="n">
        <v>-900</v>
      </c>
    </row>
    <row r="13">
      <c r="A13" s="12" t="inlineStr">
        <is>
          <t>RevenueCat (1% mobile MTR)</t>
        </is>
      </c>
      <c r="B13" s="48" t="n">
        <v>0</v>
      </c>
      <c r="C13" s="48" t="n">
        <v>-184</v>
      </c>
      <c r="D13" s="48" t="n">
        <v>-614</v>
      </c>
    </row>
    <row r="14">
      <c r="A14" s="16" t="inlineStr">
        <is>
          <t>Total Operating Costs</t>
        </is>
      </c>
      <c r="B14" s="49" t="n">
        <v>-4756</v>
      </c>
      <c r="C14" s="49" t="n">
        <v>-8038</v>
      </c>
      <c r="D14" s="49" t="n">
        <v>-23798</v>
      </c>
    </row>
    <row r="15">
      <c r="A15" t="inlineStr"/>
    </row>
    <row r="16">
      <c r="A16" s="16" t="inlineStr">
        <is>
          <t>Annual Operating Profit</t>
        </is>
      </c>
      <c r="B16" s="50" t="n">
        <v>7527</v>
      </c>
      <c r="C16" s="50" t="n">
        <v>53378</v>
      </c>
      <c r="D16" s="50" t="n">
        <v>180922</v>
      </c>
    </row>
    <row r="17">
      <c r="A17" s="12" t="inlineStr">
        <is>
          <t>Operating Margin</t>
        </is>
      </c>
      <c r="B17" s="14" t="n">
        <v>0.613</v>
      </c>
      <c r="C17" s="14" t="n">
        <v>0.869</v>
      </c>
      <c r="D17" s="14" t="n">
        <v>0.884</v>
      </c>
    </row>
    <row r="18">
      <c r="A18" t="inlineStr"/>
    </row>
    <row r="19">
      <c r="A19" s="16" t="inlineStr">
        <is>
          <t>Monthly Avg Profit</t>
        </is>
      </c>
      <c r="B19" s="49" t="n">
        <v>627</v>
      </c>
      <c r="C19" s="49" t="n">
        <v>4448</v>
      </c>
      <c r="D19" s="49" t="n">
        <v>15077</v>
      </c>
    </row>
  </sheetData>
  <mergeCells count="1">
    <mergeCell ref="A1:E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EF4444"/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2" customWidth="1" min="2" max="2"/>
    <col width="14" customWidth="1" min="3" max="3"/>
    <col width="40" customWidth="1" min="4" max="4"/>
  </cols>
  <sheetData>
    <row r="1">
      <c r="A1" s="19" t="inlineStr">
        <is>
          <t>Key Risks &amp; Cost Optimization</t>
        </is>
      </c>
    </row>
    <row r="2"/>
    <row r="3">
      <c r="A3" s="8" t="inlineStr">
        <is>
          <t>KEY RISKS</t>
        </is>
      </c>
    </row>
    <row r="4">
      <c r="A4" s="9" t="inlineStr">
        <is>
          <t>Risk</t>
        </is>
      </c>
      <c r="B4" s="9" t="inlineStr">
        <is>
          <t>Impact</t>
        </is>
      </c>
      <c r="C4" s="9" t="inlineStr">
        <is>
          <t>Probability</t>
        </is>
      </c>
      <c r="D4" s="9" t="inlineStr">
        <is>
          <t>Mitigation</t>
        </is>
      </c>
    </row>
    <row r="5">
      <c r="A5" s="10" t="inlineStr">
        <is>
          <t>RentCast price increase</t>
        </is>
      </c>
      <c r="B5" s="51" t="inlineStr">
        <is>
          <t>High — 51% of costs</t>
        </is>
      </c>
      <c r="C5" s="10" t="inlineStr">
        <is>
          <t>Medium</t>
        </is>
      </c>
      <c r="D5" s="10" t="inlineStr">
        <is>
          <t>Optimize caching; negotiate volume pricing</t>
        </is>
      </c>
    </row>
    <row r="6">
      <c r="A6" s="12" t="inlineStr">
        <is>
          <t>AXESSO/Zillow API discontinued</t>
        </is>
      </c>
      <c r="B6" s="51" t="inlineStr">
        <is>
          <t>Critical — lose Zestimate</t>
        </is>
      </c>
      <c r="C6" s="12" t="inlineStr">
        <is>
          <t>Low</t>
        </is>
      </c>
      <c r="D6" s="12" t="inlineStr">
        <is>
          <t>Build fallback to direct Zillow API</t>
        </is>
      </c>
    </row>
    <row r="7">
      <c r="A7" s="10" t="inlineStr">
        <is>
          <t>RapidAPI plan changes</t>
        </is>
      </c>
      <c r="B7" s="33" t="inlineStr">
        <is>
          <t>Medium — lose Redfin/Realtor</t>
        </is>
      </c>
      <c r="C7" s="10" t="inlineStr">
        <is>
          <t>Low</t>
        </is>
      </c>
      <c r="D7" s="10" t="inlineStr">
        <is>
          <t>Evaluate direct API access</t>
        </is>
      </c>
    </row>
    <row r="8">
      <c r="A8" s="12" t="inlineStr">
        <is>
          <t>Apple rejects SBP (15%→30%)</t>
        </is>
      </c>
      <c r="B8" s="33" t="inlineStr">
        <is>
          <t>Medium — mobile margin drops</t>
        </is>
      </c>
      <c r="C8" s="12" t="inlineStr">
        <is>
          <t>Low</t>
        </is>
      </c>
      <c r="D8" s="12" t="inlineStr">
        <is>
          <t>Web-first acquisition strategy</t>
        </is>
      </c>
    </row>
    <row r="9">
      <c r="A9" s="10" t="inlineStr">
        <is>
          <t>Low annual conversion rate</t>
        </is>
      </c>
      <c r="B9" s="33" t="inlineStr">
        <is>
          <t>Medium — lower blended ARPU</t>
        </is>
      </c>
      <c r="C9" s="10" t="inlineStr">
        <is>
          <t>Medium</t>
        </is>
      </c>
      <c r="D9" s="10" t="inlineStr">
        <is>
          <t>Incentivize annual with deeper discount</t>
        </is>
      </c>
    </row>
    <row r="10">
      <c r="A10" s="12" t="inlineStr">
        <is>
          <t>High churn (&gt;10%/mo)</t>
        </is>
      </c>
      <c r="B10" s="51" t="inlineStr">
        <is>
          <t>High — never reach scale</t>
        </is>
      </c>
      <c r="C10" s="12" t="inlineStr">
        <is>
          <t>Medium</t>
        </is>
      </c>
      <c r="D10" s="12" t="inlineStr">
        <is>
          <t>Focus on retention, feature value</t>
        </is>
      </c>
    </row>
    <row r="11">
      <c r="A11" s="10" t="inlineStr">
        <is>
          <t>Free tier API abuse</t>
        </is>
      </c>
      <c r="B11" s="33" t="inlineStr">
        <is>
          <t>Medium — consumes paid quota</t>
        </is>
      </c>
      <c r="C11" s="10" t="inlineStr">
        <is>
          <t>Medium</t>
        </is>
      </c>
      <c r="D11" s="10" t="inlineStr">
        <is>
          <t>Enforce rate limits; reduce free cap</t>
        </is>
      </c>
    </row>
    <row r="12">
      <c r="A12" s="12" t="inlineStr">
        <is>
          <t>Competitor with free tier</t>
        </is>
      </c>
      <c r="B12" s="51" t="inlineStr">
        <is>
          <t>High — pricing pressure</t>
        </is>
      </c>
      <c r="C12" s="12" t="inlineStr">
        <is>
          <t>Medium</t>
        </is>
      </c>
      <c r="D12" s="12" t="inlineStr">
        <is>
          <t>Differentiate on IQ Estimate quality</t>
        </is>
      </c>
    </row>
    <row r="13"/>
    <row r="14">
      <c r="A14" s="8" t="inlineStr">
        <is>
          <t>COST OPTIMIZATION LEVERS</t>
        </is>
      </c>
    </row>
    <row r="15">
      <c r="A15" s="9" t="inlineStr">
        <is>
          <t>Optimization</t>
        </is>
      </c>
      <c r="B15" s="9" t="inlineStr">
        <is>
          <t>Est. Savings</t>
        </is>
      </c>
      <c r="C15" s="9" t="inlineStr">
        <is>
          <t>Effort</t>
        </is>
      </c>
      <c r="D15" s="9" t="inlineStr">
        <is>
          <t>Priority</t>
        </is>
      </c>
    </row>
    <row r="16">
      <c r="A16" s="10" t="inlineStr">
        <is>
          <t>Extend cache TTL 24h → 48-72h</t>
        </is>
      </c>
      <c r="B16" s="10" t="inlineStr">
        <is>
          <t>30–50% fewer API calls</t>
        </is>
      </c>
      <c r="C16" s="10" t="inlineStr">
        <is>
          <t>Low</t>
        </is>
      </c>
      <c r="D16" s="51" t="inlineStr">
        <is>
          <t>P0 — Immediate</t>
        </is>
      </c>
    </row>
    <row r="17">
      <c r="A17" s="12" t="inlineStr">
        <is>
          <t>Lazy-load Redfin/Realtor on drill-down</t>
        </is>
      </c>
      <c r="B17" s="12" t="inlineStr">
        <is>
          <t>~40% fewer RapidAPI calls</t>
        </is>
      </c>
      <c r="C17" s="12" t="inlineStr">
        <is>
          <t>Medium</t>
        </is>
      </c>
      <c r="D17" s="33" t="inlineStr">
        <is>
          <t>P1 — Next sprint</t>
        </is>
      </c>
    </row>
    <row r="18">
      <c r="A18" s="10" t="inlineStr">
        <is>
          <t>Annual billing incentives</t>
        </is>
      </c>
      <c r="B18" s="10" t="inlineStr">
        <is>
          <t>Better cash flow, lower churn</t>
        </is>
      </c>
      <c r="C18" s="10" t="inlineStr">
        <is>
          <t>Low</t>
        </is>
      </c>
      <c r="D18" s="33" t="inlineStr">
        <is>
          <t>P1</t>
        </is>
      </c>
    </row>
    <row r="19">
      <c r="A19" s="12" t="inlineStr">
        <is>
          <t>Batch RentCast calls where possible</t>
        </is>
      </c>
      <c r="B19" s="12" t="inlineStr">
        <is>
          <t>~10% fewer RentCast calls</t>
        </is>
      </c>
      <c r="C19" s="12" t="inlineStr">
        <is>
          <t>Medium</t>
        </is>
      </c>
      <c r="D19" s="32" t="inlineStr">
        <is>
          <t>P2</t>
        </is>
      </c>
    </row>
    <row r="20">
      <c r="A20" s="10" t="inlineStr">
        <is>
          <t>Negotiate enterprise pricing @ 500 subs</t>
        </is>
      </c>
      <c r="B20" s="10" t="inlineStr">
        <is>
          <t>10–30% cost reduction</t>
        </is>
      </c>
      <c r="C20" s="10" t="inlineStr">
        <is>
          <t>Low</t>
        </is>
      </c>
      <c r="D20" s="32" t="inlineStr">
        <is>
          <t>P2 — When applicable</t>
        </is>
      </c>
    </row>
    <row r="21">
      <c r="A21" s="12" t="inlineStr">
        <is>
          <t>Reduce free tier from 3 to 2 analyses</t>
        </is>
      </c>
      <c r="B21" s="12" t="inlineStr">
        <is>
          <t>~33% fewer free API calls</t>
        </is>
      </c>
      <c r="C21" s="12" t="inlineStr">
        <is>
          <t>Low</t>
        </is>
      </c>
      <c r="D21" s="12" t="inlineStr">
        <is>
          <t>P3 — If needed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2026-04-14T22:51:11Z</dcterms:created>
  <dcterms:modified xmlns:dcterms="http://purl.org/dc/terms/" xmlns:xsi="http://www.w3.org/2001/XMLSchema-instance" xsi:type="dcterms:W3CDTF">2026-04-14T22:51:11Z</dcterms:modified>
</cp:coreProperties>
</file>