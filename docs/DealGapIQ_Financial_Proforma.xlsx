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xed Costs" sheetId="2" state="visible" r:id="rId2"/>
    <sheet xmlns:r="http://schemas.openxmlformats.org/officeDocument/2006/relationships" name="Profitability" sheetId="3" state="visible" r:id="rId3"/>
    <sheet xmlns:r="http://schemas.openxmlformats.org/officeDocument/2006/relationships" name="Scaling Detail" sheetId="4" state="visible" r:id="rId4"/>
    <sheet xmlns:r="http://schemas.openxmlformats.org/officeDocument/2006/relationships" name="API Capacity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12-Month Projection" sheetId="7" state="visible" r:id="rId7"/>
    <sheet xmlns:r="http://schemas.openxmlformats.org/officeDocument/2006/relationships" name="3-Year Projection" sheetId="8" state="visible" r:id="rId8"/>
    <sheet xmlns:r="http://schemas.openxmlformats.org/officeDocument/2006/relationships" name="Risks &amp; Optimiz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.00;[Red]($#,##0.00)"/>
    <numFmt numFmtId="167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3B82F6"/>
      <sz val="18"/>
    </font>
    <font>
      <name val="Calibri"/>
      <color rgb="0094A3B8"/>
      <sz val="12"/>
    </font>
    <font>
      <name val="Calibri"/>
      <color rgb="0094A3B8"/>
      <sz val="10"/>
    </font>
    <font>
      <name val="Calibri"/>
      <b val="1"/>
      <color rgb="00EF4444"/>
      <sz val="16"/>
    </font>
    <font>
      <name val="Calibri"/>
      <b val="1"/>
      <color rgb="003B82F6"/>
      <sz val="16"/>
    </font>
    <font>
      <name val="Calibri"/>
      <b val="1"/>
      <color rgb="0022C55E"/>
      <sz val="16"/>
    </font>
    <font>
      <name val="Calibri"/>
      <b val="1"/>
      <color rgb="00F59E0B"/>
      <sz val="16"/>
    </font>
    <font>
      <name val="Calibri"/>
      <b val="1"/>
      <color rgb="001A2332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3B82F6"/>
      <sz val="14"/>
    </font>
    <font>
      <name val="Calibri"/>
      <b val="1"/>
      <color rgb="00EF4444"/>
      <sz val="11"/>
    </font>
    <font>
      <name val="Calibri"/>
      <b val="1"/>
      <color rgb="0022C55E"/>
      <sz val="11"/>
    </font>
  </fonts>
  <fills count="9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double">
        <color rgb="001A2332"/>
      </top>
      <bottom style="double">
        <color rgb="001A2332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164" fontId="10" fillId="0" borderId="1" pivotButton="0" quotePrefix="0" xfId="0"/>
    <xf numFmtId="0" fontId="10" fillId="3" borderId="1" pivotButton="0" quotePrefix="0" xfId="0"/>
    <xf numFmtId="164" fontId="10" fillId="3" borderId="1" pivotButton="0" quotePrefix="0" xfId="0"/>
    <xf numFmtId="165" fontId="10" fillId="3" borderId="1" pivotButton="0" quotePrefix="0" xfId="0"/>
    <xf numFmtId="165" fontId="10" fillId="0" borderId="1" pivotButton="0" quotePrefix="0" xfId="0"/>
    <xf numFmtId="0" fontId="11" fillId="4" borderId="2" pivotButton="0" quotePrefix="0" xfId="0"/>
    <xf numFmtId="165" fontId="11" fillId="4" borderId="2" pivotButton="0" quotePrefix="0" xfId="0"/>
    <xf numFmtId="164" fontId="11" fillId="4" borderId="2" pivotButton="0" quotePrefix="0" xfId="0"/>
    <xf numFmtId="0" fontId="12" fillId="0" borderId="0" pivotButton="0" quotePrefix="0" xfId="0"/>
    <xf numFmtId="0" fontId="3" fillId="0" borderId="0" pivotButton="0" quotePrefix="0" xfId="0"/>
    <xf numFmtId="3" fontId="10" fillId="0" borderId="1" pivotButton="0" quotePrefix="0" xfId="0"/>
    <xf numFmtId="166" fontId="13" fillId="0" borderId="1" pivotButton="0" quotePrefix="0" xfId="0"/>
    <xf numFmtId="3" fontId="10" fillId="3" borderId="1" pivotButton="0" quotePrefix="0" xfId="0"/>
    <xf numFmtId="166" fontId="13" fillId="3" borderId="1" pivotButton="0" quotePrefix="0" xfId="0"/>
    <xf numFmtId="166" fontId="14" fillId="0" borderId="1" pivotButton="0" quotePrefix="0" xfId="0"/>
    <xf numFmtId="166" fontId="14" fillId="3" borderId="1" pivotButton="0" quotePrefix="0" xfId="0"/>
    <xf numFmtId="0" fontId="10" fillId="5" borderId="1" pivotButton="0" quotePrefix="0" xfId="0"/>
    <xf numFmtId="0" fontId="8" fillId="0" borderId="0" applyAlignment="1" pivotButton="0" quotePrefix="0" xfId="0">
      <alignment horizontal="left"/>
    </xf>
    <xf numFmtId="166" fontId="10" fillId="5" borderId="1" pivotButton="0" quotePrefix="0" xfId="0"/>
    <xf numFmtId="164" fontId="11" fillId="6" borderId="1" pivotButton="0" quotePrefix="0" xfId="0"/>
    <xf numFmtId="0" fontId="11" fillId="6" borderId="1" pivotButton="0" quotePrefix="0" xfId="0"/>
    <xf numFmtId="167" fontId="10" fillId="0" borderId="1" pivotButton="0" quotePrefix="0" xfId="0"/>
    <xf numFmtId="167" fontId="10" fillId="3" borderId="1" pivotButton="0" quotePrefix="0" xfId="0"/>
    <xf numFmtId="0" fontId="11" fillId="0" borderId="0" pivotButton="0" quotePrefix="0" xfId="0"/>
    <xf numFmtId="165" fontId="11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11" fillId="0" borderId="1" pivotButton="0" quotePrefix="0" xfId="0"/>
    <xf numFmtId="3" fontId="11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6" fontId="11" fillId="0" borderId="1" pivotButton="0" quotePrefix="0" xfId="0"/>
    <xf numFmtId="165" fontId="0" fillId="0" borderId="1" pivotButton="0" quotePrefix="0" xfId="0"/>
    <xf numFmtId="166" fontId="10" fillId="3" borderId="1" pivotButton="0" quotePrefix="0" xfId="0"/>
    <xf numFmtId="166" fontId="10" fillId="0" borderId="1" pivotButton="0" quotePrefix="0" xfId="0"/>
    <xf numFmtId="166" fontId="11" fillId="4" borderId="2" pivotButton="0" quotePrefix="0" xfId="0"/>
    <xf numFmtId="166" fontId="14" fillId="4" borderId="2" pivotButton="0" quotePrefix="0" xfId="0"/>
    <xf numFmtId="0" fontId="10" fillId="7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Profit/Loss by Subscriber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'Profitability'!I6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'Profitability'!$A$7:$A$28</f>
            </numRef>
          </cat>
          <val>
            <numRef>
              <f>'Profitability'!$I$7:$I$28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Paid Subscribers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Composition by Subscriber Count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'Profitability'!D6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'Profitability'!$A$7:$A$28</f>
            </numRef>
          </cat>
          <val>
            <numRef>
              <f>'Profitability'!$D$7:$D$28</f>
            </numRef>
          </val>
        </ser>
        <ser>
          <idx val="1"/>
          <order val="1"/>
          <tx>
            <strRef>
              <f>'Profitability'!E6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'Profitability'!$A$7:$A$28</f>
            </numRef>
          </cat>
          <val>
            <numRef>
              <f>'Profitability'!$E$7:$E$28</f>
            </numRef>
          </val>
        </ser>
        <ser>
          <idx val="2"/>
          <order val="2"/>
          <tx>
            <strRef>
              <f>'Profitability'!F6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'Profitability'!$A$7:$A$28</f>
            </numRef>
          </cat>
          <val>
            <numRef>
              <f>'Profitability'!$F$7:$F$28</f>
            </numRef>
          </val>
        </ser>
        <ser>
          <idx val="3"/>
          <order val="3"/>
          <tx>
            <strRef>
              <f>'Profitability'!G6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'Profitability'!$A$7:$A$28</f>
            </numRef>
          </cat>
          <val>
            <numRef>
              <f>'Profitability'!$G$7:$G$28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Paid Subscribers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Subscriber Growth &amp; Profitability</a:t>
            </a:r>
          </a:p>
        </rich>
      </tx>
    </title>
    <plotArea>
      <lineChart>
        <grouping val="standard"/>
        <ser>
          <idx val="0"/>
          <order val="0"/>
          <tx>
            <strRef>
              <f>'12-Month Projection'!A11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'12-Month Projection'!$B$8:$M$8</f>
            </numRef>
          </cat>
          <val>
            <numRef>
              <f>'12-Month Projection'!$B$11:$M$11</f>
            </numRef>
          </val>
        </ser>
        <ser>
          <idx val="1"/>
          <order val="1"/>
          <tx>
            <strRef>
              <f>'12-Month Projection'!A22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'12-Month Projection'!$B$8:$M$8</f>
            </numRef>
          </cat>
          <val>
            <numRef>
              <f>'12-Month Projection'!$B$22:$M$22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Cost Composition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'12-Month Projection'!A16</f>
            </strRef>
          </tx>
          <spPr>
            <a:ln xmlns:a="http://schemas.openxmlformats.org/drawingml/2006/main">
              <a:prstDash val="solid"/>
            </a:ln>
          </spPr>
          <cat>
            <numRef>
              <f>'12-Month Projection'!$B$8:$M$8</f>
            </numRef>
          </cat>
          <val>
            <numRef>
              <f>'12-Month Projection'!$B$16:$M$16</f>
            </numRef>
          </val>
        </ser>
        <ser>
          <idx val="1"/>
          <order val="1"/>
          <tx>
            <strRef>
              <f>'12-Month Projection'!A17</f>
            </strRef>
          </tx>
          <spPr>
            <a:ln xmlns:a="http://schemas.openxmlformats.org/drawingml/2006/main">
              <a:prstDash val="solid"/>
            </a:ln>
          </spPr>
          <cat>
            <numRef>
              <f>'12-Month Projection'!$B$8:$M$8</f>
            </numRef>
          </cat>
          <val>
            <numRef>
              <f>'12-Month Projection'!$B$17:$M$17</f>
            </numRef>
          </val>
        </ser>
        <ser>
          <idx val="2"/>
          <order val="2"/>
          <tx>
            <strRef>
              <f>'12-Month Projection'!A18</f>
            </strRef>
          </tx>
          <spPr>
            <a:ln xmlns:a="http://schemas.openxmlformats.org/drawingml/2006/main">
              <a:prstDash val="solid"/>
            </a:ln>
          </spPr>
          <cat>
            <numRef>
              <f>'12-Month Projection'!$B$8:$M$8</f>
            </numRef>
          </cat>
          <val>
            <numRef>
              <f>'12-Month Projection'!$B$18:$M$18</f>
            </numRef>
          </val>
        </ser>
        <ser>
          <idx val="3"/>
          <order val="3"/>
          <tx>
            <strRef>
              <f>'12-Month Projection'!A19</f>
            </strRef>
          </tx>
          <spPr>
            <a:ln xmlns:a="http://schemas.openxmlformats.org/drawingml/2006/main">
              <a:prstDash val="solid"/>
            </a:ln>
          </spPr>
          <cat>
            <numRef>
              <f>'12-Month Projection'!$B$8:$M$8</f>
            </numRef>
          </cat>
          <val>
            <numRef>
              <f>'12-Month Projection'!$B$19:$M$19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26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4" customWidth="1" min="3" max="3"/>
    <col width="24" customWidth="1" min="4" max="4"/>
    <col width="30" customWidth="1" min="5" max="5"/>
    <col width="12" customWidth="1" min="6" max="6"/>
  </cols>
  <sheetData>
    <row r="1">
      <c r="A1" s="1" t="inlineStr">
        <is>
          <t>DealGap IQ — Financial Proforma</t>
        </is>
      </c>
    </row>
    <row r="2">
      <c r="A2" s="2" t="inlineStr">
        <is>
          <t>Breakeven &amp; Profitability Analysis  |  April 2026</t>
        </is>
      </c>
    </row>
    <row r="3"/>
    <row r="4">
      <c r="A4" s="3" t="inlineStr">
        <is>
          <t>Monthly Burn (0 subs)</t>
        </is>
      </c>
      <c r="C4" s="3" t="inlineStr">
        <is>
          <t>Breakeven Subscribers</t>
        </is>
      </c>
      <c r="E4" s="3" t="inlineStr">
        <is>
          <t>Blended Net ARPU</t>
        </is>
      </c>
    </row>
    <row r="5">
      <c r="A5" s="4" t="inlineStr">
        <is>
          <t>$70.83</t>
        </is>
      </c>
      <c r="C5" s="5" t="inlineStr">
        <is>
          <t>3 Pro</t>
        </is>
      </c>
      <c r="E5" s="6" t="inlineStr">
        <is>
          <t>$34.12/mo</t>
        </is>
      </c>
    </row>
    <row r="6"/>
    <row r="7">
      <c r="A7" s="3" t="inlineStr">
        <is>
          <t>Margin @ 100 Subs</t>
        </is>
      </c>
      <c r="C7" s="3" t="inlineStr">
        <is>
          <t>Top Cost @ 100 Subs</t>
        </is>
      </c>
      <c r="E7" s="3" t="inlineStr">
        <is>
          <t>First Scale Trigger</t>
        </is>
      </c>
    </row>
    <row r="8">
      <c r="A8" s="6" t="inlineStr">
        <is>
          <t>89%</t>
        </is>
      </c>
      <c r="C8" s="7" t="inlineStr">
        <is>
          <t>RentCast (46%)</t>
        </is>
      </c>
      <c r="E8" s="7" t="inlineStr">
        <is>
          <t>~100 subs (RapidAPI — Redfin)</t>
        </is>
      </c>
    </row>
    <row r="9"/>
    <row r="10"/>
    <row r="11">
      <c r="A11" s="8" t="inlineStr">
        <is>
          <t>SUBSCRIPTION PRICING</t>
        </is>
      </c>
    </row>
    <row r="12">
      <c r="A12" s="9" t="inlineStr">
        <is>
          <t>Tier</t>
        </is>
      </c>
      <c r="B12" s="9" t="inlineStr">
        <is>
          <t>Monthly</t>
        </is>
      </c>
      <c r="C12" s="9" t="inlineStr">
        <is>
          <t>Annual</t>
        </is>
      </c>
      <c r="D12" s="9" t="inlineStr">
        <is>
          <t>Eff. Monthly (Annual)</t>
        </is>
      </c>
    </row>
    <row r="13">
      <c r="A13" s="10" t="inlineStr">
        <is>
          <t>Starter (Free)</t>
        </is>
      </c>
      <c r="B13" s="11" t="n">
        <v>0</v>
      </c>
      <c r="C13" s="11" t="n">
        <v>0</v>
      </c>
      <c r="D13" s="11" t="n">
        <v>0</v>
      </c>
    </row>
    <row r="14">
      <c r="A14" s="12" t="inlineStr">
        <is>
          <t>Pro</t>
        </is>
      </c>
      <c r="B14" s="13" t="n">
        <v>39.99</v>
      </c>
      <c r="C14" s="13" t="n">
        <v>349.99</v>
      </c>
      <c r="D14" s="13" t="n">
        <v>29.17</v>
      </c>
    </row>
    <row r="15"/>
    <row r="16">
      <c r="A16" s="8" t="inlineStr">
        <is>
          <t>NET REVENUE AFTER PROCESSING FEES</t>
        </is>
      </c>
    </row>
    <row r="17">
      <c r="A17" s="9" t="inlineStr">
        <is>
          <t>Channel</t>
        </is>
      </c>
      <c r="B17" s="9" t="inlineStr">
        <is>
          <t>Fee Structure</t>
        </is>
      </c>
      <c r="C17" s="9" t="inlineStr">
        <is>
          <t>Monthly Net</t>
        </is>
      </c>
      <c r="D17" s="9" t="inlineStr">
        <is>
          <t>Annual Net (/mo)</t>
        </is>
      </c>
    </row>
    <row r="18">
      <c r="A18" s="12" t="inlineStr">
        <is>
          <t>Stripe (Web)</t>
        </is>
      </c>
      <c r="B18" s="12" t="inlineStr">
        <is>
          <t>2.9% + $0.30/txn</t>
        </is>
      </c>
      <c r="C18" s="13" t="n">
        <v>38.53</v>
      </c>
      <c r="D18" s="13" t="n">
        <v>28.3</v>
      </c>
    </row>
    <row r="19">
      <c r="A19" s="10" t="inlineStr">
        <is>
          <t>Apple IAP (15% SBP)</t>
        </is>
      </c>
      <c r="B19" s="10" t="inlineStr">
        <is>
          <t>15% commission</t>
        </is>
      </c>
      <c r="C19" s="11" t="n">
        <v>33.99</v>
      </c>
      <c r="D19" s="11" t="n">
        <v>24.79</v>
      </c>
    </row>
    <row r="20">
      <c r="A20" s="12" t="inlineStr">
        <is>
          <t>Google Play (15%)</t>
        </is>
      </c>
      <c r="B20" s="12" t="inlineStr">
        <is>
          <t>15% commission</t>
        </is>
      </c>
      <c r="C20" s="13" t="n">
        <v>33.99</v>
      </c>
      <c r="D20" s="13" t="n">
        <v>24.79</v>
      </c>
    </row>
    <row r="21"/>
    <row r="22">
      <c r="A22" s="8" t="inlineStr">
        <is>
          <t>BLENDED NET ARPU</t>
        </is>
      </c>
    </row>
    <row r="23">
      <c r="A23" s="9" t="inlineStr">
        <is>
          <t>Segment</t>
        </is>
      </c>
      <c r="B23" s="9" t="inlineStr">
        <is>
          <t>Mix %</t>
        </is>
      </c>
      <c r="C23" s="9" t="inlineStr">
        <is>
          <t>Net $/mo</t>
        </is>
      </c>
      <c r="D23" s="9" t="inlineStr">
        <is>
          <t>Contribution</t>
        </is>
      </c>
    </row>
    <row r="24">
      <c r="A24" s="12" t="inlineStr">
        <is>
          <t>Web — Monthly</t>
        </is>
      </c>
      <c r="B24" s="14" t="n">
        <v>0.52</v>
      </c>
      <c r="C24" s="13" t="n">
        <v>38.53</v>
      </c>
      <c r="D24" s="13" t="n">
        <v>20.04</v>
      </c>
    </row>
    <row r="25">
      <c r="A25" s="10" t="inlineStr">
        <is>
          <t>Web — Annual</t>
        </is>
      </c>
      <c r="B25" s="15" t="n">
        <v>0.28</v>
      </c>
      <c r="C25" s="11" t="n">
        <v>28.3</v>
      </c>
      <c r="D25" s="11" t="n">
        <v>7.92</v>
      </c>
    </row>
    <row r="26">
      <c r="A26" s="12" t="inlineStr">
        <is>
          <t>iOS — Monthly</t>
        </is>
      </c>
      <c r="B26" s="14" t="n">
        <v>0.13</v>
      </c>
      <c r="C26" s="13" t="n">
        <v>33.99</v>
      </c>
      <c r="D26" s="13" t="n">
        <v>4.42</v>
      </c>
    </row>
    <row r="27">
      <c r="A27" s="10" t="inlineStr">
        <is>
          <t>iOS — Annual</t>
        </is>
      </c>
      <c r="B27" s="15" t="n">
        <v>0.07000000000000001</v>
      </c>
      <c r="C27" s="11" t="n">
        <v>24.79</v>
      </c>
      <c r="D27" s="11" t="n">
        <v>1.74</v>
      </c>
    </row>
    <row r="28">
      <c r="A28" s="16" t="inlineStr">
        <is>
          <t>Blended ARPU (net)</t>
        </is>
      </c>
      <c r="B28" s="17" t="n">
        <v>1</v>
      </c>
      <c r="C28" s="16" t="inlineStr"/>
      <c r="D28" s="18" t="n">
        <v>34.12</v>
      </c>
    </row>
  </sheetData>
  <mergeCells count="14">
    <mergeCell ref="A4:B4"/>
    <mergeCell ref="A2:F2"/>
    <mergeCell ref="E4:F4"/>
    <mergeCell ref="C7:D7"/>
    <mergeCell ref="A7:B7"/>
    <mergeCell ref="E7:F7"/>
    <mergeCell ref="A1:F1"/>
    <mergeCell ref="C5:D5"/>
    <mergeCell ref="A5:B5"/>
    <mergeCell ref="E5:F5"/>
    <mergeCell ref="A8:B8"/>
    <mergeCell ref="E8:F8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1" customWidth="1" min="3" max="3"/>
    <col width="16" customWidth="1" min="4" max="4"/>
    <col width="15" customWidth="1" min="5" max="5"/>
    <col width="19" customWidth="1" min="6" max="6"/>
    <col width="32" customWidth="1" min="7" max="7"/>
  </cols>
  <sheetData>
    <row r="1">
      <c r="A1" s="19" t="inlineStr">
        <is>
          <t>Baseline Monthly Costs — Current Plans (0 Subscribers)</t>
        </is>
      </c>
    </row>
    <row r="2"/>
    <row r="3">
      <c r="A3" s="9" t="inlineStr">
        <is>
          <t>#</t>
        </is>
      </c>
      <c r="B3" s="9" t="inlineStr">
        <is>
          <t>Service</t>
        </is>
      </c>
      <c r="C3" s="9" t="inlineStr">
        <is>
          <t>Category</t>
        </is>
      </c>
      <c r="D3" s="9" t="inlineStr">
        <is>
          <t>Plan</t>
        </is>
      </c>
      <c r="E3" s="9" t="inlineStr">
        <is>
          <t>Monthly Cost</t>
        </is>
      </c>
      <c r="F3" s="9" t="inlineStr">
        <is>
          <t>Included Quota</t>
        </is>
      </c>
      <c r="G3" s="9" t="inlineStr">
        <is>
          <t>Notes</t>
        </is>
      </c>
    </row>
    <row r="4">
      <c r="A4" s="10" t="n">
        <v>1</v>
      </c>
      <c r="B4" s="10" t="inlineStr">
        <is>
          <t>RentCast API</t>
        </is>
      </c>
      <c r="C4" s="10" t="inlineStr">
        <is>
          <t>Data API</t>
        </is>
      </c>
      <c r="D4" s="10" t="inlineStr">
        <is>
          <t>Developer</t>
        </is>
      </c>
      <c r="E4" s="11" t="n">
        <v>0</v>
      </c>
      <c r="F4" s="10" t="inlineStr">
        <is>
          <t>5,000 req/mo</t>
        </is>
      </c>
      <c r="G4" s="10" t="inlineStr">
        <is>
          <t>$0.03/req overage</t>
        </is>
      </c>
    </row>
    <row r="5">
      <c r="A5" s="12" t="n">
        <v>2</v>
      </c>
      <c r="B5" s="12" t="inlineStr">
        <is>
          <t>Zillow / AXESSO</t>
        </is>
      </c>
      <c r="C5" s="12" t="inlineStr">
        <is>
          <t>Data API</t>
        </is>
      </c>
      <c r="D5" s="12" t="inlineStr">
        <is>
          <t>Free Trial</t>
        </is>
      </c>
      <c r="E5" s="13" t="n">
        <v>0</v>
      </c>
      <c r="F5" s="12" t="inlineStr">
        <is>
          <t>100,000 req/mo</t>
        </is>
      </c>
      <c r="G5" s="12" t="inlineStr">
        <is>
          <t>€75 ≈ $82 USD</t>
        </is>
      </c>
    </row>
    <row r="6">
      <c r="A6" s="10" t="n">
        <v>3</v>
      </c>
      <c r="B6" s="10" t="inlineStr">
        <is>
          <t>RapidAPI — Redfin</t>
        </is>
      </c>
      <c r="C6" s="10" t="inlineStr">
        <is>
          <t>Data API</t>
        </is>
      </c>
      <c r="D6" s="10" t="inlineStr">
        <is>
          <t>Basic</t>
        </is>
      </c>
      <c r="E6" s="11" t="n">
        <v>0</v>
      </c>
      <c r="F6" s="10" t="inlineStr">
        <is>
          <t>~1,000 req/mo</t>
        </is>
      </c>
      <c r="G6" s="10" t="inlineStr">
        <is>
          <t>Verify quota</t>
        </is>
      </c>
    </row>
    <row r="7">
      <c r="A7" s="12" t="n">
        <v>4</v>
      </c>
      <c r="B7" s="12" t="inlineStr">
        <is>
          <t>RapidAPI — Realtor</t>
        </is>
      </c>
      <c r="C7" s="12" t="inlineStr">
        <is>
          <t>Data API</t>
        </is>
      </c>
      <c r="D7" s="12" t="inlineStr">
        <is>
          <t>Basic</t>
        </is>
      </c>
      <c r="E7" s="13" t="n">
        <v>0</v>
      </c>
      <c r="F7" s="12" t="inlineStr">
        <is>
          <t>~1,000 req/mo</t>
        </is>
      </c>
      <c r="G7" s="12" t="inlineStr">
        <is>
          <t>Verify quota</t>
        </is>
      </c>
    </row>
    <row r="8">
      <c r="A8" s="10" t="n">
        <v>5</v>
      </c>
      <c r="B8" s="10" t="inlineStr">
        <is>
          <t>Railway</t>
        </is>
      </c>
      <c r="C8" s="10" t="inlineStr">
        <is>
          <t>Infra</t>
        </is>
      </c>
      <c r="D8" s="10" t="inlineStr">
        <is>
          <t>Pro</t>
        </is>
      </c>
      <c r="E8" s="11" t="n">
        <v>20</v>
      </c>
      <c r="F8" s="10" t="inlineStr">
        <is>
          <t>$20 usage credit</t>
        </is>
      </c>
      <c r="G8" s="10" t="inlineStr">
        <is>
          <t>Backend hosting</t>
        </is>
      </c>
    </row>
    <row r="9">
      <c r="A9" s="12" t="n">
        <v>6</v>
      </c>
      <c r="B9" s="12" t="inlineStr">
        <is>
          <t>Vercel</t>
        </is>
      </c>
      <c r="C9" s="12" t="inlineStr">
        <is>
          <t>Infra</t>
        </is>
      </c>
      <c r="D9" s="12" t="inlineStr">
        <is>
          <t>Pro</t>
        </is>
      </c>
      <c r="E9" s="13" t="n">
        <v>20</v>
      </c>
      <c r="F9" s="12" t="inlineStr">
        <is>
          <t>Standard limits</t>
        </is>
      </c>
      <c r="G9" s="12" t="inlineStr">
        <is>
          <t>Frontend hosting</t>
        </is>
      </c>
    </row>
    <row r="10">
      <c r="A10" s="10" t="n">
        <v>7</v>
      </c>
      <c r="B10" s="10" t="inlineStr">
        <is>
          <t>Expo (EAS)</t>
        </is>
      </c>
      <c r="C10" s="10" t="inlineStr">
        <is>
          <t>Infra</t>
        </is>
      </c>
      <c r="D10" s="10" t="inlineStr">
        <is>
          <t>Starter</t>
        </is>
      </c>
      <c r="E10" s="11" t="n">
        <v>19</v>
      </c>
      <c r="F10" s="10" t="inlineStr">
        <is>
          <t>3K MAUs</t>
        </is>
      </c>
      <c r="G10" s="10" t="inlineStr">
        <is>
          <t>$45 build credit</t>
        </is>
      </c>
    </row>
    <row r="11">
      <c r="A11" s="12" t="n">
        <v>8</v>
      </c>
      <c r="B11" s="12" t="inlineStr">
        <is>
          <t>Apple Developer</t>
        </is>
      </c>
      <c r="C11" s="12" t="inlineStr">
        <is>
          <t>Fixed</t>
        </is>
      </c>
      <c r="D11" s="12" t="inlineStr">
        <is>
          <t>Annual</t>
        </is>
      </c>
      <c r="E11" s="13" t="n">
        <v>8.25</v>
      </c>
      <c r="F11" s="12" t="inlineStr">
        <is>
          <t>—</t>
        </is>
      </c>
      <c r="G11" s="12" t="inlineStr">
        <is>
          <t>$99/yr amortized</t>
        </is>
      </c>
    </row>
    <row r="12">
      <c r="A12" s="10" t="n">
        <v>9</v>
      </c>
      <c r="B12" s="10" t="inlineStr">
        <is>
          <t>Google Play Dev</t>
        </is>
      </c>
      <c r="C12" s="10" t="inlineStr">
        <is>
          <t>Fixed</t>
        </is>
      </c>
      <c r="D12" s="10" t="inlineStr">
        <is>
          <t>One-time</t>
        </is>
      </c>
      <c r="E12" s="11" t="n">
        <v>2.08</v>
      </c>
      <c r="F12" s="10" t="inlineStr">
        <is>
          <t>—</t>
        </is>
      </c>
      <c r="G12" s="10" t="inlineStr">
        <is>
          <t>$25 amortized 12 mo</t>
        </is>
      </c>
    </row>
    <row r="13">
      <c r="A13" s="12" t="n">
        <v>10</v>
      </c>
      <c r="B13" s="12" t="inlineStr">
        <is>
          <t>Domain</t>
        </is>
      </c>
      <c r="C13" s="12" t="inlineStr">
        <is>
          <t>Fixed</t>
        </is>
      </c>
      <c r="D13" s="12" t="inlineStr">
        <is>
          <t>Annual</t>
        </is>
      </c>
      <c r="E13" s="13" t="n">
        <v>1.5</v>
      </c>
      <c r="F13" s="12" t="inlineStr">
        <is>
          <t>—</t>
        </is>
      </c>
      <c r="G13" s="12" t="inlineStr">
        <is>
          <t>~$18/yr amortized</t>
        </is>
      </c>
    </row>
    <row r="14">
      <c r="A14" s="10" t="n">
        <v>11</v>
      </c>
      <c r="B14" s="10" t="inlineStr">
        <is>
          <t>Anthropic (Claude)</t>
        </is>
      </c>
      <c r="C14" s="10" t="inlineStr">
        <is>
          <t>Variable</t>
        </is>
      </c>
      <c r="D14" s="10" t="inlineStr">
        <is>
          <t>Pay-per-use</t>
        </is>
      </c>
      <c r="E14" s="11" t="n">
        <v>0</v>
      </c>
      <c r="F14" s="10" t="inlineStr">
        <is>
          <t>—</t>
        </is>
      </c>
      <c r="G14" s="10" t="inlineStr">
        <is>
          <t>~$0.01/narrative</t>
        </is>
      </c>
    </row>
    <row r="15">
      <c r="A15" s="12" t="n">
        <v>12</v>
      </c>
      <c r="B15" s="12" t="inlineStr">
        <is>
          <t>Google Maps</t>
        </is>
      </c>
      <c r="C15" s="12" t="inlineStr">
        <is>
          <t>Variable</t>
        </is>
      </c>
      <c r="D15" s="12" t="inlineStr">
        <is>
          <t>Pay-as-you-go</t>
        </is>
      </c>
      <c r="E15" s="13" t="n">
        <v>0</v>
      </c>
      <c r="F15" s="12" t="inlineStr">
        <is>
          <t>$200/mo free</t>
        </is>
      </c>
      <c r="G15" s="12" t="inlineStr">
        <is>
          <t>Autocomplete + Geo</t>
        </is>
      </c>
    </row>
    <row r="16">
      <c r="A16" s="10" t="n">
        <v>13</v>
      </c>
      <c r="B16" s="10" t="inlineStr">
        <is>
          <t>Sentry</t>
        </is>
      </c>
      <c r="C16" s="10" t="inlineStr">
        <is>
          <t>Fixed</t>
        </is>
      </c>
      <c r="D16" s="10" t="inlineStr">
        <is>
          <t>Free</t>
        </is>
      </c>
      <c r="E16" s="11" t="n">
        <v>0</v>
      </c>
      <c r="F16" s="10" t="inlineStr">
        <is>
          <t>5K errors/mo</t>
        </is>
      </c>
      <c r="G16" s="10" t="inlineStr">
        <is>
          <t>Error monitoring</t>
        </is>
      </c>
    </row>
    <row r="17">
      <c r="A17" s="12" t="n">
        <v>14</v>
      </c>
      <c r="B17" s="12" t="inlineStr">
        <is>
          <t>Resend</t>
        </is>
      </c>
      <c r="C17" s="12" t="inlineStr">
        <is>
          <t>Fixed</t>
        </is>
      </c>
      <c r="D17" s="12" t="inlineStr">
        <is>
          <t>Free</t>
        </is>
      </c>
      <c r="E17" s="13" t="n">
        <v>0</v>
      </c>
      <c r="F17" s="12" t="inlineStr">
        <is>
          <t>3,000 emails/mo</t>
        </is>
      </c>
      <c r="G17" s="12" t="inlineStr">
        <is>
          <t>Transactional email</t>
        </is>
      </c>
    </row>
    <row r="18">
      <c r="A18" s="10" t="n">
        <v>15</v>
      </c>
      <c r="B18" s="10" t="inlineStr">
        <is>
          <t>RevenueCat</t>
        </is>
      </c>
      <c r="C18" s="10" t="inlineStr">
        <is>
          <t>Variable</t>
        </is>
      </c>
      <c r="D18" s="10" t="inlineStr">
        <is>
          <t>Free</t>
        </is>
      </c>
      <c r="E18" s="11" t="n">
        <v>0</v>
      </c>
      <c r="F18" s="10" t="inlineStr">
        <is>
          <t>&lt; $2,500 MTR</t>
        </is>
      </c>
      <c r="G18" s="10" t="inlineStr">
        <is>
          <t>1% above threshold</t>
        </is>
      </c>
    </row>
    <row r="19">
      <c r="A19" s="16" t="n"/>
      <c r="B19" s="16" t="inlineStr">
        <is>
          <t>TOTAL BASELINE</t>
        </is>
      </c>
      <c r="C19" s="16" t="n"/>
      <c r="D19" s="16" t="n"/>
      <c r="E19" s="18">
        <f>SUM(E4:E18)</f>
        <v/>
      </c>
      <c r="F19" s="16" t="n"/>
      <c r="G19" s="16" t="n"/>
    </row>
    <row r="20"/>
    <row r="21">
      <c r="A21" s="8" t="inlineStr">
        <is>
          <t>Additional Costs to Consider (Not in Baseline)</t>
        </is>
      </c>
    </row>
    <row r="22">
      <c r="A22" s="9" t="inlineStr"/>
      <c r="B22" s="9" t="inlineStr">
        <is>
          <t>Item</t>
        </is>
      </c>
      <c r="C22" s="9" t="inlineStr"/>
      <c r="D22" s="9" t="inlineStr">
        <is>
          <t>Est. Monthly</t>
        </is>
      </c>
      <c r="E22" s="9" t="inlineStr"/>
      <c r="F22" s="9" t="inlineStr"/>
      <c r="G22" s="9" t="inlineStr">
        <is>
          <t>Notes</t>
        </is>
      </c>
    </row>
    <row r="23">
      <c r="A23" s="10" t="inlineStr"/>
      <c r="B23" s="10" t="inlineStr">
        <is>
          <t>GitHub (private repos)</t>
        </is>
      </c>
      <c r="C23" s="10" t="inlineStr"/>
      <c r="D23" s="10" t="inlineStr">
        <is>
          <t>0–4</t>
        </is>
      </c>
      <c r="E23" s="10" t="inlineStr"/>
      <c r="F23" s="10" t="inlineStr"/>
      <c r="G23" s="10" t="inlineStr">
        <is>
          <t>Free for individual; Team $4/user/mo</t>
        </is>
      </c>
    </row>
    <row r="24">
      <c r="A24" s="12" t="inlineStr"/>
      <c r="B24" s="12" t="inlineStr">
        <is>
          <t>Cursor IDE</t>
        </is>
      </c>
      <c r="C24" s="12" t="inlineStr"/>
      <c r="D24" s="12" t="inlineStr">
        <is>
          <t>20</t>
        </is>
      </c>
      <c r="E24" s="12" t="inlineStr"/>
      <c r="F24" s="12" t="inlineStr"/>
      <c r="G24" s="12" t="inlineStr">
        <is>
          <t>Development tool subscription</t>
        </is>
      </c>
    </row>
    <row r="25">
      <c r="A25" s="10" t="inlineStr"/>
      <c r="B25" s="10" t="inlineStr">
        <is>
          <t>Accounting / Bookkeeping</t>
        </is>
      </c>
      <c r="C25" s="10" t="inlineStr"/>
      <c r="D25" s="10" t="inlineStr">
        <is>
          <t>0–50</t>
        </is>
      </c>
      <c r="E25" s="10" t="inlineStr"/>
      <c r="F25" s="10" t="inlineStr"/>
      <c r="G25" s="10" t="inlineStr">
        <is>
          <t>Manual or service</t>
        </is>
      </c>
    </row>
    <row r="26">
      <c r="A26" s="12" t="inlineStr"/>
      <c r="B26" s="12" t="inlineStr">
        <is>
          <t>Business Insurance</t>
        </is>
      </c>
      <c r="C26" s="12" t="inlineStr"/>
      <c r="D26" s="12" t="inlineStr">
        <is>
          <t>0–100</t>
        </is>
      </c>
      <c r="E26" s="12" t="inlineStr"/>
      <c r="F26" s="12" t="inlineStr"/>
      <c r="G26" s="12" t="inlineStr">
        <is>
          <t>E&amp;O / general liability</t>
        </is>
      </c>
    </row>
    <row r="27">
      <c r="A27" s="10" t="inlineStr"/>
      <c r="B27" s="10" t="inlineStr">
        <is>
          <t>Legal (entity, ToS)</t>
        </is>
      </c>
      <c r="C27" s="10" t="inlineStr"/>
      <c r="D27" s="10" t="inlineStr">
        <is>
          <t>~50</t>
        </is>
      </c>
      <c r="E27" s="10" t="inlineStr"/>
      <c r="F27" s="10" t="inlineStr"/>
      <c r="G27" s="10" t="inlineStr">
        <is>
          <t>$600/yr amortized</t>
        </is>
      </c>
    </row>
    <row r="28">
      <c r="A28" s="12" t="inlineStr"/>
      <c r="B28" s="12" t="inlineStr">
        <is>
          <t>Marketing / Ads</t>
        </is>
      </c>
      <c r="C28" s="12" t="inlineStr"/>
      <c r="D28" s="12" t="inlineStr">
        <is>
          <t>0+</t>
        </is>
      </c>
      <c r="E28" s="12" t="inlineStr"/>
      <c r="F28" s="12" t="inlineStr"/>
      <c r="G28" s="12" t="inlineStr">
        <is>
          <t>Variable; CAC dependent</t>
        </is>
      </c>
    </row>
    <row r="29">
      <c r="A29" s="10" t="inlineStr"/>
      <c r="B29" s="10" t="inlineStr">
        <is>
          <t>Founder Salary</t>
        </is>
      </c>
      <c r="C29" s="10" t="inlineStr"/>
      <c r="D29" s="10" t="inlineStr">
        <is>
          <t>0+</t>
        </is>
      </c>
      <c r="E29" s="10" t="inlineStr"/>
      <c r="F29" s="10" t="inlineStr"/>
      <c r="G29" s="10" t="inlineStr">
        <is>
          <t>Critical at scale</t>
        </is>
      </c>
    </row>
  </sheetData>
  <mergeCells count="2"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1" customWidth="1" min="3" max="3"/>
    <col width="12" customWidth="1" min="4" max="4"/>
    <col width="17" customWidth="1" min="5" max="5"/>
    <col width="16" customWidth="1" min="6" max="6"/>
    <col width="17" customWidth="1" min="7" max="7"/>
    <col width="14" customWidth="1" min="8" max="8"/>
    <col width="21" customWidth="1" min="9" max="9"/>
    <col width="22" customWidth="1" min="10" max="10"/>
    <col width="12" customWidth="1" min="11" max="11"/>
  </cols>
  <sheetData>
    <row r="1">
      <c r="A1" s="19" t="inlineStr">
        <is>
          <t>Profitability by Subscriber Count (Auto-Scaled Costs)</t>
        </is>
      </c>
    </row>
    <row r="2"/>
    <row r="3">
      <c r="A3" s="20" t="inlineStr">
        <is>
          <t>All costs computed by the centralized cost engine. Provider plans</t>
        </is>
      </c>
    </row>
    <row r="4">
      <c r="A4" s="20" t="inlineStr">
        <is>
          <t>auto-upgrade when volume exceeds quota. See 'Scaling Detail' sheet.</t>
        </is>
      </c>
    </row>
    <row r="5"/>
    <row r="6">
      <c r="A6" s="9" t="inlineStr">
        <is>
          <t>Paid Subs</t>
        </is>
      </c>
      <c r="B6" s="9" t="inlineStr">
        <is>
          <t>Active (60%)</t>
        </is>
      </c>
      <c r="C6" s="9" t="inlineStr">
        <is>
          <t>Net Revenue</t>
        </is>
      </c>
      <c r="D6" s="9" t="inlineStr">
        <is>
          <t>Data APIs</t>
        </is>
      </c>
      <c r="E6" s="9" t="inlineStr">
        <is>
          <t>Infrastructure</t>
        </is>
      </c>
      <c r="F6" s="9" t="inlineStr">
        <is>
          <t>AI &amp; Variable</t>
        </is>
      </c>
      <c r="G6" s="9" t="inlineStr">
        <is>
          <t>Fixed Overhead</t>
        </is>
      </c>
      <c r="H6" s="9" t="inlineStr">
        <is>
          <t>Total Costs</t>
        </is>
      </c>
      <c r="I6" s="9" t="inlineStr">
        <is>
          <t>Profit/Loss</t>
        </is>
      </c>
      <c r="J6" s="9" t="inlineStr">
        <is>
          <t>Margin</t>
        </is>
      </c>
    </row>
    <row r="7">
      <c r="A7" s="21" t="n">
        <v>0</v>
      </c>
      <c r="B7" s="21" t="n">
        <v>0</v>
      </c>
      <c r="C7" s="11" t="n">
        <v>0</v>
      </c>
      <c r="D7" s="11" t="n">
        <v>0</v>
      </c>
      <c r="E7" s="11" t="n">
        <v>59</v>
      </c>
      <c r="F7" s="11" t="n">
        <v>0</v>
      </c>
      <c r="G7" s="11" t="n">
        <v>11.83</v>
      </c>
      <c r="H7" s="11" t="n">
        <v>70.83</v>
      </c>
      <c r="I7" s="22" t="n">
        <v>-70.83</v>
      </c>
      <c r="J7" s="15" t="n">
        <v>0</v>
      </c>
    </row>
    <row r="8">
      <c r="A8" s="23" t="n">
        <v>1</v>
      </c>
      <c r="B8" s="23" t="n">
        <v>1</v>
      </c>
      <c r="C8" s="13" t="n">
        <v>34.12</v>
      </c>
      <c r="D8" s="13" t="n">
        <v>16</v>
      </c>
      <c r="E8" s="13" t="n">
        <v>59</v>
      </c>
      <c r="F8" s="13" t="n">
        <v>0.15</v>
      </c>
      <c r="G8" s="13" t="n">
        <v>11.83</v>
      </c>
      <c r="H8" s="13" t="n">
        <v>86.98</v>
      </c>
      <c r="I8" s="24" t="n">
        <v>-52.86000000000001</v>
      </c>
      <c r="J8" s="14" t="n">
        <v>-1.549237983587339</v>
      </c>
    </row>
    <row r="9">
      <c r="A9" s="21" t="n">
        <v>5</v>
      </c>
      <c r="B9" s="21" t="n">
        <v>3</v>
      </c>
      <c r="C9" s="11" t="n">
        <v>170.6</v>
      </c>
      <c r="D9" s="11" t="n">
        <v>31.2</v>
      </c>
      <c r="E9" s="11" t="n">
        <v>59</v>
      </c>
      <c r="F9" s="11" t="n">
        <v>0.45</v>
      </c>
      <c r="G9" s="11" t="n">
        <v>11.83</v>
      </c>
      <c r="H9" s="11" t="n">
        <v>102.48</v>
      </c>
      <c r="I9" s="25" t="n">
        <v>68.11999999999999</v>
      </c>
      <c r="J9" s="15" t="n">
        <v>0.3992966002344666</v>
      </c>
    </row>
    <row r="10">
      <c r="A10" s="23" t="n">
        <v>10</v>
      </c>
      <c r="B10" s="23" t="n">
        <v>6</v>
      </c>
      <c r="C10" s="13" t="n">
        <v>341.2</v>
      </c>
      <c r="D10" s="13" t="n">
        <v>86.40000000000001</v>
      </c>
      <c r="E10" s="13" t="n">
        <v>59</v>
      </c>
      <c r="F10" s="13" t="n">
        <v>0.9</v>
      </c>
      <c r="G10" s="13" t="n">
        <v>11.83</v>
      </c>
      <c r="H10" s="13" t="n">
        <v>158.13</v>
      </c>
      <c r="I10" s="26" t="n">
        <v>183.07</v>
      </c>
      <c r="J10" s="14" t="n">
        <v>0.5365474794841735</v>
      </c>
    </row>
    <row r="11">
      <c r="A11" s="21" t="n">
        <v>12</v>
      </c>
      <c r="B11" s="21" t="n">
        <v>8</v>
      </c>
      <c r="C11" s="11" t="n">
        <v>409.4399999999999</v>
      </c>
      <c r="D11" s="11" t="n">
        <v>103.2</v>
      </c>
      <c r="E11" s="11" t="n">
        <v>59</v>
      </c>
      <c r="F11" s="11" t="n">
        <v>1.2</v>
      </c>
      <c r="G11" s="11" t="n">
        <v>11.83</v>
      </c>
      <c r="H11" s="11" t="n">
        <v>175.23</v>
      </c>
      <c r="I11" s="25" t="n">
        <v>234.21</v>
      </c>
      <c r="J11" s="15" t="n">
        <v>0.5720252051582649</v>
      </c>
    </row>
    <row r="12">
      <c r="A12" s="23" t="n">
        <v>15</v>
      </c>
      <c r="B12" s="23" t="n">
        <v>9</v>
      </c>
      <c r="C12" s="13" t="n">
        <v>511.8</v>
      </c>
      <c r="D12" s="13" t="n">
        <v>111.6</v>
      </c>
      <c r="E12" s="13" t="n">
        <v>59</v>
      </c>
      <c r="F12" s="13" t="n">
        <v>1.35</v>
      </c>
      <c r="G12" s="13" t="n">
        <v>11.83</v>
      </c>
      <c r="H12" s="13" t="n">
        <v>183.78</v>
      </c>
      <c r="I12" s="26" t="n">
        <v>328.02</v>
      </c>
      <c r="J12" s="14" t="n">
        <v>0.6409144196951935</v>
      </c>
    </row>
    <row r="13">
      <c r="A13" s="21" t="n">
        <v>25</v>
      </c>
      <c r="B13" s="21" t="n">
        <v>15</v>
      </c>
      <c r="C13" s="11" t="n">
        <v>852.9999999999999</v>
      </c>
      <c r="D13" s="11" t="n">
        <v>120</v>
      </c>
      <c r="E13" s="11" t="n">
        <v>59</v>
      </c>
      <c r="F13" s="11" t="n">
        <v>2.25</v>
      </c>
      <c r="G13" s="11" t="n">
        <v>11.83</v>
      </c>
      <c r="H13" s="11" t="n">
        <v>193.08</v>
      </c>
      <c r="I13" s="25" t="n">
        <v>659.9199999999998</v>
      </c>
      <c r="J13" s="15" t="n">
        <v>0.7736459554513481</v>
      </c>
    </row>
    <row r="14">
      <c r="A14" s="23" t="n">
        <v>50</v>
      </c>
      <c r="B14" s="23" t="n">
        <v>30</v>
      </c>
      <c r="C14" s="13" t="n">
        <v>1706</v>
      </c>
      <c r="D14" s="13" t="n">
        <v>135.6</v>
      </c>
      <c r="E14" s="13" t="n">
        <v>59</v>
      </c>
      <c r="F14" s="13" t="n">
        <v>4.5</v>
      </c>
      <c r="G14" s="13" t="n">
        <v>11.83</v>
      </c>
      <c r="H14" s="13" t="n">
        <v>210.93</v>
      </c>
      <c r="I14" s="26" t="n">
        <v>1495.07</v>
      </c>
      <c r="J14" s="14" t="n">
        <v>0.8763599062133646</v>
      </c>
    </row>
    <row r="15">
      <c r="A15" s="21" t="n">
        <v>75</v>
      </c>
      <c r="B15" s="21" t="n">
        <v>45</v>
      </c>
      <c r="C15" s="11" t="n">
        <v>2559</v>
      </c>
      <c r="D15" s="11" t="n">
        <v>173.4</v>
      </c>
      <c r="E15" s="11" t="n">
        <v>59</v>
      </c>
      <c r="F15" s="11" t="n">
        <v>6.75</v>
      </c>
      <c r="G15" s="11" t="n">
        <v>11.83</v>
      </c>
      <c r="H15" s="11" t="n">
        <v>250.98</v>
      </c>
      <c r="I15" s="25" t="n">
        <v>2308.02</v>
      </c>
      <c r="J15" s="15" t="n">
        <v>0.9019226260257913</v>
      </c>
    </row>
    <row r="16">
      <c r="A16" s="23" t="n">
        <v>100</v>
      </c>
      <c r="B16" s="23" t="n">
        <v>60</v>
      </c>
      <c r="C16" s="13" t="n">
        <v>3412</v>
      </c>
      <c r="D16" s="13" t="n">
        <v>281.2</v>
      </c>
      <c r="E16" s="13" t="n">
        <v>59</v>
      </c>
      <c r="F16" s="13" t="n">
        <v>9</v>
      </c>
      <c r="G16" s="13" t="n">
        <v>11.83</v>
      </c>
      <c r="H16" s="13" t="n">
        <v>361.03</v>
      </c>
      <c r="I16" s="26" t="n">
        <v>3050.969999999999</v>
      </c>
      <c r="J16" s="14" t="n">
        <v>0.8941881594372801</v>
      </c>
    </row>
    <row r="17">
      <c r="A17" s="21" t="n">
        <v>150</v>
      </c>
      <c r="B17" s="21" t="n">
        <v>90</v>
      </c>
      <c r="C17" s="11" t="n">
        <v>5118</v>
      </c>
      <c r="D17" s="11" t="n">
        <v>315</v>
      </c>
      <c r="E17" s="11" t="n">
        <v>59</v>
      </c>
      <c r="F17" s="11" t="n">
        <v>13.5</v>
      </c>
      <c r="G17" s="11" t="n">
        <v>11.83</v>
      </c>
      <c r="H17" s="11" t="n">
        <v>399.33</v>
      </c>
      <c r="I17" s="25" t="n">
        <v>4718.67</v>
      </c>
      <c r="J17" s="15" t="n">
        <v>0.9219753810082063</v>
      </c>
    </row>
    <row r="18">
      <c r="A18" s="23" t="n">
        <v>200</v>
      </c>
      <c r="B18" s="23" t="n">
        <v>120</v>
      </c>
      <c r="C18" s="13" t="n">
        <v>6823.999999999999</v>
      </c>
      <c r="D18" s="13" t="n">
        <v>316.2</v>
      </c>
      <c r="E18" s="13" t="n">
        <v>239</v>
      </c>
      <c r="F18" s="13" t="n">
        <v>18</v>
      </c>
      <c r="G18" s="13" t="n">
        <v>11.83</v>
      </c>
      <c r="H18" s="13" t="n">
        <v>585.03</v>
      </c>
      <c r="I18" s="26" t="n">
        <v>6238.969999999999</v>
      </c>
      <c r="J18" s="14" t="n">
        <v>0.9142687573270809</v>
      </c>
    </row>
    <row r="19">
      <c r="A19" s="21" t="n">
        <v>250</v>
      </c>
      <c r="B19" s="21" t="n">
        <v>150</v>
      </c>
      <c r="C19" s="11" t="n">
        <v>8530</v>
      </c>
      <c r="D19" s="11" t="n">
        <v>354</v>
      </c>
      <c r="E19" s="11" t="n">
        <v>269</v>
      </c>
      <c r="F19" s="11" t="n">
        <v>22.5</v>
      </c>
      <c r="G19" s="11" t="n">
        <v>11.83</v>
      </c>
      <c r="H19" s="11" t="n">
        <v>657.33</v>
      </c>
      <c r="I19" s="25" t="n">
        <v>7872.67</v>
      </c>
      <c r="J19" s="15" t="n">
        <v>0.9229390386869871</v>
      </c>
    </row>
    <row r="20">
      <c r="A20" s="23" t="n">
        <v>300</v>
      </c>
      <c r="B20" s="23" t="n">
        <v>180</v>
      </c>
      <c r="C20" s="13" t="n">
        <v>10236</v>
      </c>
      <c r="D20" s="13" t="n">
        <v>391.8</v>
      </c>
      <c r="E20" s="13" t="n">
        <v>269</v>
      </c>
      <c r="F20" s="13" t="n">
        <v>27</v>
      </c>
      <c r="G20" s="13" t="n">
        <v>11.83</v>
      </c>
      <c r="H20" s="13" t="n">
        <v>699.63</v>
      </c>
      <c r="I20" s="26" t="n">
        <v>9536.370000000001</v>
      </c>
      <c r="J20" s="14" t="n">
        <v>0.9316500586166472</v>
      </c>
    </row>
    <row r="21">
      <c r="A21" s="21" t="n">
        <v>400</v>
      </c>
      <c r="B21" s="21" t="n">
        <v>240</v>
      </c>
      <c r="C21" s="11" t="n">
        <v>13648</v>
      </c>
      <c r="D21" s="11" t="n">
        <v>567.4</v>
      </c>
      <c r="E21" s="11" t="n">
        <v>269</v>
      </c>
      <c r="F21" s="11" t="n">
        <v>40.59</v>
      </c>
      <c r="G21" s="11" t="n">
        <v>11.83</v>
      </c>
      <c r="H21" s="11" t="n">
        <v>888.8200000000001</v>
      </c>
      <c r="I21" s="25" t="n">
        <v>12759.18</v>
      </c>
      <c r="J21" s="15" t="n">
        <v>0.9348754396248534</v>
      </c>
    </row>
    <row r="22">
      <c r="A22" s="23" t="n">
        <v>500</v>
      </c>
      <c r="B22" s="23" t="n">
        <v>300</v>
      </c>
      <c r="C22" s="13" t="n">
        <v>17060</v>
      </c>
      <c r="D22" s="13" t="n">
        <v>643</v>
      </c>
      <c r="E22" s="13" t="n">
        <v>269</v>
      </c>
      <c r="F22" s="13" t="n">
        <v>56.99</v>
      </c>
      <c r="G22" s="13" t="n">
        <v>11.83</v>
      </c>
      <c r="H22" s="13" t="n">
        <v>980.8200000000001</v>
      </c>
      <c r="I22" s="26" t="n">
        <v>16079.18</v>
      </c>
      <c r="J22" s="14" t="n">
        <v>0.9425076201641266</v>
      </c>
    </row>
    <row r="23">
      <c r="A23" s="21" t="n">
        <v>750</v>
      </c>
      <c r="B23" s="21" t="n">
        <v>450</v>
      </c>
      <c r="C23" s="11" t="n">
        <v>25590</v>
      </c>
      <c r="D23" s="11" t="n">
        <v>665</v>
      </c>
      <c r="E23" s="11" t="n">
        <v>339</v>
      </c>
      <c r="F23" s="11" t="n">
        <v>97.98</v>
      </c>
      <c r="G23" s="11" t="n">
        <v>11.83</v>
      </c>
      <c r="H23" s="11" t="n">
        <v>1113.81</v>
      </c>
      <c r="I23" s="25" t="n">
        <v>24476.19</v>
      </c>
      <c r="J23" s="15" t="n">
        <v>0.956474794841735</v>
      </c>
    </row>
    <row r="24">
      <c r="A24" s="23" t="n">
        <v>1000</v>
      </c>
      <c r="B24" s="23" t="n">
        <v>600</v>
      </c>
      <c r="C24" s="13" t="n">
        <v>34120</v>
      </c>
      <c r="D24" s="13" t="n">
        <v>968</v>
      </c>
      <c r="E24" s="13" t="n">
        <v>339</v>
      </c>
      <c r="F24" s="13" t="n">
        <v>138.98</v>
      </c>
      <c r="G24" s="13" t="n">
        <v>11.83</v>
      </c>
      <c r="H24" s="13" t="n">
        <v>1457.81</v>
      </c>
      <c r="I24" s="26" t="n">
        <v>32662.19</v>
      </c>
      <c r="J24" s="14" t="n">
        <v>0.9572740328253223</v>
      </c>
    </row>
    <row r="25">
      <c r="A25" s="21" t="n">
        <v>1500</v>
      </c>
      <c r="B25" s="21" t="n">
        <v>900</v>
      </c>
      <c r="C25" s="11" t="n">
        <v>51179.99999999999</v>
      </c>
      <c r="D25" s="11" t="n">
        <v>1223</v>
      </c>
      <c r="E25" s="11" t="n">
        <v>339</v>
      </c>
      <c r="F25" s="11" t="n">
        <v>220.97</v>
      </c>
      <c r="G25" s="11" t="n">
        <v>11.83</v>
      </c>
      <c r="H25" s="11" t="n">
        <v>1794.8</v>
      </c>
      <c r="I25" s="25" t="n">
        <v>49385.19999999999</v>
      </c>
      <c r="J25" s="15" t="n">
        <v>0.9649316139116841</v>
      </c>
    </row>
    <row r="26">
      <c r="A26" s="23" t="n">
        <v>2000</v>
      </c>
      <c r="B26" s="23" t="n">
        <v>1200</v>
      </c>
      <c r="C26" s="13" t="n">
        <v>68240</v>
      </c>
      <c r="D26" s="13" t="n">
        <v>1412</v>
      </c>
      <c r="E26" s="13" t="n">
        <v>439</v>
      </c>
      <c r="F26" s="13" t="n">
        <v>302.96</v>
      </c>
      <c r="G26" s="13" t="n">
        <v>11.83</v>
      </c>
      <c r="H26" s="13" t="n">
        <v>2165.79</v>
      </c>
      <c r="I26" s="26" t="n">
        <v>66074.21000000001</v>
      </c>
      <c r="J26" s="14" t="n">
        <v>0.9682621629542791</v>
      </c>
    </row>
    <row r="27">
      <c r="A27" s="21" t="n">
        <v>3000</v>
      </c>
      <c r="B27" s="21" t="n">
        <v>1800</v>
      </c>
      <c r="C27" s="11" t="n">
        <v>102360</v>
      </c>
      <c r="D27" s="11" t="n">
        <v>1790</v>
      </c>
      <c r="E27" s="11" t="n">
        <v>799</v>
      </c>
      <c r="F27" s="11" t="n">
        <v>466.94</v>
      </c>
      <c r="G27" s="11" t="n">
        <v>11.83</v>
      </c>
      <c r="H27" s="11" t="n">
        <v>3067.77</v>
      </c>
      <c r="I27" s="25" t="n">
        <v>99292.22999999998</v>
      </c>
      <c r="J27" s="15" t="n">
        <v>0.9700296014067995</v>
      </c>
    </row>
    <row r="28">
      <c r="A28" s="23" t="n">
        <v>5000</v>
      </c>
      <c r="B28" s="23" t="n">
        <v>3000</v>
      </c>
      <c r="C28" s="13" t="n">
        <v>170600</v>
      </c>
      <c r="D28" s="13" t="n">
        <v>2806</v>
      </c>
      <c r="E28" s="13" t="n">
        <v>799</v>
      </c>
      <c r="F28" s="13" t="n">
        <v>878.4</v>
      </c>
      <c r="G28" s="13" t="n">
        <v>11.83</v>
      </c>
      <c r="H28" s="13" t="n">
        <v>4495.23</v>
      </c>
      <c r="I28" s="26" t="n">
        <v>166104.77</v>
      </c>
      <c r="J28" s="14" t="n">
        <v>0.973650468933177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W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3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2" customWidth="1" min="12" max="12"/>
    <col width="15" customWidth="1" min="13" max="13"/>
    <col width="11" customWidth="1" min="14" max="14"/>
    <col width="18" customWidth="1" min="15" max="15"/>
    <col width="15" customWidth="1" min="16" max="16"/>
    <col width="18" customWidth="1" min="17" max="17"/>
    <col width="18" customWidth="1" min="18" max="18"/>
    <col width="18" customWidth="1" min="19" max="19"/>
    <col width="16" customWidth="1" min="20" max="20"/>
    <col width="18" customWidth="1" min="21" max="21"/>
    <col width="15" customWidth="1" min="22" max="22"/>
    <col width="13" customWidth="1" min="23" max="23"/>
  </cols>
  <sheetData>
    <row r="1">
      <c r="A1" s="19" t="inlineStr">
        <is>
          <t>Per-Provider Cost &amp; Plan at Each Subscriber Level</t>
        </is>
      </c>
    </row>
    <row r="2">
      <c r="A2" s="20" t="inlineStr">
        <is>
          <t>Plans auto-upgrade when call volume exceeds quota. Yellow = upgraded from baseline.</t>
        </is>
      </c>
    </row>
    <row r="3"/>
    <row r="4">
      <c r="A4" s="9" t="inlineStr">
        <is>
          <t>Paid Subs</t>
        </is>
      </c>
      <c r="B4" s="9" t="inlineStr">
        <is>
          <t>Active</t>
        </is>
      </c>
      <c r="C4" s="9" t="inlineStr">
        <is>
          <t>RentCast Plan</t>
        </is>
      </c>
      <c r="D4" s="9" t="inlineStr">
        <is>
          <t>RentCast $</t>
        </is>
      </c>
      <c r="E4" s="9" t="inlineStr">
        <is>
          <t>Zillow / AXESSO Plan</t>
        </is>
      </c>
      <c r="F4" s="9" t="inlineStr">
        <is>
          <t>Zillow / AXESSO $</t>
        </is>
      </c>
      <c r="G4" s="9" t="inlineStr">
        <is>
          <t>RapidAPI — Redfin Plan</t>
        </is>
      </c>
      <c r="H4" s="9" t="inlineStr">
        <is>
          <t>RapidAPI — Redfin $</t>
        </is>
      </c>
      <c r="I4" s="9" t="inlineStr">
        <is>
          <t>RapidAPI — Realtor Plan</t>
        </is>
      </c>
      <c r="J4" s="9" t="inlineStr">
        <is>
          <t>RapidAPI — Realtor $</t>
        </is>
      </c>
      <c r="K4" s="9" t="inlineStr">
        <is>
          <t>Railway Plan</t>
        </is>
      </c>
      <c r="L4" s="9" t="inlineStr">
        <is>
          <t>Railway $</t>
        </is>
      </c>
      <c r="M4" s="9" t="inlineStr">
        <is>
          <t>Vercel Plan</t>
        </is>
      </c>
      <c r="N4" s="9" t="inlineStr">
        <is>
          <t>Vercel $</t>
        </is>
      </c>
      <c r="O4" s="9" t="inlineStr">
        <is>
          <t>Expo (EAS) Plan</t>
        </is>
      </c>
      <c r="P4" s="9" t="inlineStr">
        <is>
          <t>Expo (EAS) $</t>
        </is>
      </c>
      <c r="Q4" s="9" t="inlineStr">
        <is>
          <t>Anthropic (Claude) Plan</t>
        </is>
      </c>
      <c r="R4" s="9" t="inlineStr">
        <is>
          <t>Anthropic (Claude) $</t>
        </is>
      </c>
      <c r="S4" s="9" t="inlineStr">
        <is>
          <t>Google Maps Plan</t>
        </is>
      </c>
      <c r="T4" s="9" t="inlineStr">
        <is>
          <t>Google Maps $</t>
        </is>
      </c>
      <c r="U4" s="9" t="inlineStr">
        <is>
          <t>RevenueCat Plan</t>
        </is>
      </c>
      <c r="V4" s="9" t="inlineStr">
        <is>
          <t>RevenueCat $</t>
        </is>
      </c>
      <c r="W4" s="9" t="inlineStr">
        <is>
          <t>TOTAL COST</t>
        </is>
      </c>
    </row>
    <row r="5">
      <c r="A5" s="21" t="n">
        <v>0</v>
      </c>
      <c r="B5" s="21" t="n">
        <v>0</v>
      </c>
      <c r="C5" s="10" t="inlineStr">
        <is>
          <t>Developer</t>
        </is>
      </c>
      <c r="D5" s="11" t="n">
        <v>0</v>
      </c>
      <c r="E5" s="10" t="inlineStr">
        <is>
          <t>Free Trial</t>
        </is>
      </c>
      <c r="F5" s="11" t="n">
        <v>0</v>
      </c>
      <c r="G5" s="10" t="inlineStr">
        <is>
          <t>Basic</t>
        </is>
      </c>
      <c r="H5" s="11" t="n">
        <v>0</v>
      </c>
      <c r="I5" s="10" t="inlineStr">
        <is>
          <t>Basic</t>
        </is>
      </c>
      <c r="J5" s="11" t="n">
        <v>0</v>
      </c>
      <c r="K5" s="10" t="inlineStr">
        <is>
          <t>Pro</t>
        </is>
      </c>
      <c r="L5" s="11" t="n">
        <v>20</v>
      </c>
      <c r="M5" s="10" t="inlineStr">
        <is>
          <t>Pro</t>
        </is>
      </c>
      <c r="N5" s="11" t="n">
        <v>20</v>
      </c>
      <c r="O5" s="10" t="inlineStr">
        <is>
          <t>Starter</t>
        </is>
      </c>
      <c r="P5" s="11" t="n">
        <v>19</v>
      </c>
      <c r="Q5" s="10" t="inlineStr">
        <is>
          <t>Pay-per-use</t>
        </is>
      </c>
      <c r="R5" s="11" t="n">
        <v>0</v>
      </c>
      <c r="S5" s="10" t="inlineStr">
        <is>
          <t>Pay-as-you-go</t>
        </is>
      </c>
      <c r="T5" s="11" t="n">
        <v>0</v>
      </c>
      <c r="U5" s="10" t="inlineStr">
        <is>
          <t>Free</t>
        </is>
      </c>
      <c r="V5" s="11" t="n">
        <v>0</v>
      </c>
      <c r="W5" s="11" t="n">
        <v>70.83</v>
      </c>
    </row>
    <row r="6">
      <c r="A6" s="23" t="n">
        <v>1</v>
      </c>
      <c r="B6" s="23" t="n">
        <v>1</v>
      </c>
      <c r="C6" s="12" t="inlineStr">
        <is>
          <t>Developer</t>
        </is>
      </c>
      <c r="D6" s="13" t="n">
        <v>0</v>
      </c>
      <c r="E6" s="12" t="inlineStr">
        <is>
          <t>Starter</t>
        </is>
      </c>
      <c r="F6" s="13" t="n">
        <v>16</v>
      </c>
      <c r="G6" s="12" t="inlineStr">
        <is>
          <t>Basic</t>
        </is>
      </c>
      <c r="H6" s="13" t="n">
        <v>0</v>
      </c>
      <c r="I6" s="12" t="inlineStr">
        <is>
          <t>Basic</t>
        </is>
      </c>
      <c r="J6" s="13" t="n">
        <v>0</v>
      </c>
      <c r="K6" s="12" t="inlineStr">
        <is>
          <t>Pro</t>
        </is>
      </c>
      <c r="L6" s="13" t="n">
        <v>20</v>
      </c>
      <c r="M6" s="12" t="inlineStr">
        <is>
          <t>Pro</t>
        </is>
      </c>
      <c r="N6" s="13" t="n">
        <v>20</v>
      </c>
      <c r="O6" s="12" t="inlineStr">
        <is>
          <t>Starter</t>
        </is>
      </c>
      <c r="P6" s="13" t="n">
        <v>19</v>
      </c>
      <c r="Q6" s="12" t="inlineStr">
        <is>
          <t>Pay-per-use</t>
        </is>
      </c>
      <c r="R6" s="13" t="n">
        <v>0.15</v>
      </c>
      <c r="S6" s="12" t="inlineStr">
        <is>
          <t>Pay-as-you-go</t>
        </is>
      </c>
      <c r="T6" s="13" t="n">
        <v>0</v>
      </c>
      <c r="U6" s="12" t="inlineStr">
        <is>
          <t>Free</t>
        </is>
      </c>
      <c r="V6" s="13" t="n">
        <v>0</v>
      </c>
      <c r="W6" s="13" t="n">
        <v>86.98</v>
      </c>
    </row>
    <row r="7">
      <c r="A7" s="21" t="n">
        <v>5</v>
      </c>
      <c r="B7" s="21" t="n">
        <v>3</v>
      </c>
      <c r="C7" s="10" t="inlineStr">
        <is>
          <t>Developer</t>
        </is>
      </c>
      <c r="D7" s="11" t="n">
        <v>15.2</v>
      </c>
      <c r="E7" s="27" t="inlineStr">
        <is>
          <t>Starter</t>
        </is>
      </c>
      <c r="F7" s="11" t="n">
        <v>16</v>
      </c>
      <c r="G7" s="10" t="inlineStr">
        <is>
          <t>Basic</t>
        </is>
      </c>
      <c r="H7" s="11" t="n">
        <v>0</v>
      </c>
      <c r="I7" s="10" t="inlineStr">
        <is>
          <t>Basic</t>
        </is>
      </c>
      <c r="J7" s="11" t="n">
        <v>0</v>
      </c>
      <c r="K7" s="10" t="inlineStr">
        <is>
          <t>Pro</t>
        </is>
      </c>
      <c r="L7" s="11" t="n">
        <v>20</v>
      </c>
      <c r="M7" s="10" t="inlineStr">
        <is>
          <t>Pro</t>
        </is>
      </c>
      <c r="N7" s="11" t="n">
        <v>20</v>
      </c>
      <c r="O7" s="10" t="inlineStr">
        <is>
          <t>Starter</t>
        </is>
      </c>
      <c r="P7" s="11" t="n">
        <v>19</v>
      </c>
      <c r="Q7" s="10" t="inlineStr">
        <is>
          <t>Pay-per-use</t>
        </is>
      </c>
      <c r="R7" s="11" t="n">
        <v>0.45</v>
      </c>
      <c r="S7" s="10" t="inlineStr">
        <is>
          <t>Pay-as-you-go</t>
        </is>
      </c>
      <c r="T7" s="11" t="n">
        <v>0</v>
      </c>
      <c r="U7" s="10" t="inlineStr">
        <is>
          <t>Free</t>
        </is>
      </c>
      <c r="V7" s="11" t="n">
        <v>0</v>
      </c>
      <c r="W7" s="11" t="n">
        <v>102.48</v>
      </c>
    </row>
    <row r="8">
      <c r="A8" s="23" t="n">
        <v>10</v>
      </c>
      <c r="B8" s="23" t="n">
        <v>6</v>
      </c>
      <c r="C8" s="12" t="inlineStr">
        <is>
          <t>Developer</t>
        </is>
      </c>
      <c r="D8" s="13" t="n">
        <v>40.4</v>
      </c>
      <c r="E8" s="12" t="inlineStr">
        <is>
          <t>Starter</t>
        </is>
      </c>
      <c r="F8" s="13" t="n">
        <v>16</v>
      </c>
      <c r="G8" s="12" t="inlineStr">
        <is>
          <t>Pro</t>
        </is>
      </c>
      <c r="H8" s="13" t="n">
        <v>15</v>
      </c>
      <c r="I8" s="12" t="inlineStr">
        <is>
          <t>Pro</t>
        </is>
      </c>
      <c r="J8" s="13" t="n">
        <v>15</v>
      </c>
      <c r="K8" s="12" t="inlineStr">
        <is>
          <t>Pro</t>
        </is>
      </c>
      <c r="L8" s="13" t="n">
        <v>20</v>
      </c>
      <c r="M8" s="12" t="inlineStr">
        <is>
          <t>Pro</t>
        </is>
      </c>
      <c r="N8" s="13" t="n">
        <v>20</v>
      </c>
      <c r="O8" s="12" t="inlineStr">
        <is>
          <t>Starter</t>
        </is>
      </c>
      <c r="P8" s="13" t="n">
        <v>19</v>
      </c>
      <c r="Q8" s="12" t="inlineStr">
        <is>
          <t>Pay-per-use</t>
        </is>
      </c>
      <c r="R8" s="13" t="n">
        <v>0.9</v>
      </c>
      <c r="S8" s="12" t="inlineStr">
        <is>
          <t>Pay-as-you-go</t>
        </is>
      </c>
      <c r="T8" s="13" t="n">
        <v>0</v>
      </c>
      <c r="U8" s="12" t="inlineStr">
        <is>
          <t>Free</t>
        </is>
      </c>
      <c r="V8" s="13" t="n">
        <v>0</v>
      </c>
      <c r="W8" s="13" t="n">
        <v>158.13</v>
      </c>
    </row>
    <row r="9">
      <c r="A9" s="21" t="n">
        <v>12</v>
      </c>
      <c r="B9" s="21" t="n">
        <v>8</v>
      </c>
      <c r="C9" s="10" t="inlineStr">
        <is>
          <t>Developer</t>
        </is>
      </c>
      <c r="D9" s="11" t="n">
        <v>57.2</v>
      </c>
      <c r="E9" s="27" t="inlineStr">
        <is>
          <t>Starter</t>
        </is>
      </c>
      <c r="F9" s="11" t="n">
        <v>16</v>
      </c>
      <c r="G9" s="27" t="inlineStr">
        <is>
          <t>Pro</t>
        </is>
      </c>
      <c r="H9" s="11" t="n">
        <v>15</v>
      </c>
      <c r="I9" s="27" t="inlineStr">
        <is>
          <t>Pro</t>
        </is>
      </c>
      <c r="J9" s="11" t="n">
        <v>15</v>
      </c>
      <c r="K9" s="10" t="inlineStr">
        <is>
          <t>Pro</t>
        </is>
      </c>
      <c r="L9" s="11" t="n">
        <v>20</v>
      </c>
      <c r="M9" s="10" t="inlineStr">
        <is>
          <t>Pro</t>
        </is>
      </c>
      <c r="N9" s="11" t="n">
        <v>20</v>
      </c>
      <c r="O9" s="10" t="inlineStr">
        <is>
          <t>Starter</t>
        </is>
      </c>
      <c r="P9" s="11" t="n">
        <v>19</v>
      </c>
      <c r="Q9" s="10" t="inlineStr">
        <is>
          <t>Pay-per-use</t>
        </is>
      </c>
      <c r="R9" s="11" t="n">
        <v>1.2</v>
      </c>
      <c r="S9" s="10" t="inlineStr">
        <is>
          <t>Pay-as-you-go</t>
        </is>
      </c>
      <c r="T9" s="11" t="n">
        <v>0</v>
      </c>
      <c r="U9" s="10" t="inlineStr">
        <is>
          <t>Free</t>
        </is>
      </c>
      <c r="V9" s="11" t="n">
        <v>0</v>
      </c>
      <c r="W9" s="11" t="n">
        <v>175.23</v>
      </c>
    </row>
    <row r="10">
      <c r="A10" s="23" t="n">
        <v>15</v>
      </c>
      <c r="B10" s="23" t="n">
        <v>9</v>
      </c>
      <c r="C10" s="12" t="inlineStr">
        <is>
          <t>Developer</t>
        </is>
      </c>
      <c r="D10" s="13" t="n">
        <v>65.59999999999999</v>
      </c>
      <c r="E10" s="12" t="inlineStr">
        <is>
          <t>Starter</t>
        </is>
      </c>
      <c r="F10" s="13" t="n">
        <v>16</v>
      </c>
      <c r="G10" s="12" t="inlineStr">
        <is>
          <t>Pro</t>
        </is>
      </c>
      <c r="H10" s="13" t="n">
        <v>15</v>
      </c>
      <c r="I10" s="12" t="inlineStr">
        <is>
          <t>Pro</t>
        </is>
      </c>
      <c r="J10" s="13" t="n">
        <v>15</v>
      </c>
      <c r="K10" s="12" t="inlineStr">
        <is>
          <t>Pro</t>
        </is>
      </c>
      <c r="L10" s="13" t="n">
        <v>20</v>
      </c>
      <c r="M10" s="12" t="inlineStr">
        <is>
          <t>Pro</t>
        </is>
      </c>
      <c r="N10" s="13" t="n">
        <v>20</v>
      </c>
      <c r="O10" s="12" t="inlineStr">
        <is>
          <t>Starter</t>
        </is>
      </c>
      <c r="P10" s="13" t="n">
        <v>19</v>
      </c>
      <c r="Q10" s="12" t="inlineStr">
        <is>
          <t>Pay-per-use</t>
        </is>
      </c>
      <c r="R10" s="13" t="n">
        <v>1.35</v>
      </c>
      <c r="S10" s="12" t="inlineStr">
        <is>
          <t>Pay-as-you-go</t>
        </is>
      </c>
      <c r="T10" s="13" t="n">
        <v>0</v>
      </c>
      <c r="U10" s="12" t="inlineStr">
        <is>
          <t>Free</t>
        </is>
      </c>
      <c r="V10" s="13" t="n">
        <v>0</v>
      </c>
      <c r="W10" s="13" t="n">
        <v>183.78</v>
      </c>
    </row>
    <row r="11">
      <c r="A11" s="21" t="n">
        <v>25</v>
      </c>
      <c r="B11" s="21" t="n">
        <v>15</v>
      </c>
      <c r="C11" s="27" t="inlineStr">
        <is>
          <t>Foundation</t>
        </is>
      </c>
      <c r="D11" s="11" t="n">
        <v>74</v>
      </c>
      <c r="E11" s="27" t="inlineStr">
        <is>
          <t>Starter</t>
        </is>
      </c>
      <c r="F11" s="11" t="n">
        <v>16</v>
      </c>
      <c r="G11" s="27" t="inlineStr">
        <is>
          <t>Pro</t>
        </is>
      </c>
      <c r="H11" s="11" t="n">
        <v>15</v>
      </c>
      <c r="I11" s="27" t="inlineStr">
        <is>
          <t>Pro</t>
        </is>
      </c>
      <c r="J11" s="11" t="n">
        <v>15</v>
      </c>
      <c r="K11" s="10" t="inlineStr">
        <is>
          <t>Pro</t>
        </is>
      </c>
      <c r="L11" s="11" t="n">
        <v>20</v>
      </c>
      <c r="M11" s="10" t="inlineStr">
        <is>
          <t>Pro</t>
        </is>
      </c>
      <c r="N11" s="11" t="n">
        <v>20</v>
      </c>
      <c r="O11" s="10" t="inlineStr">
        <is>
          <t>Starter</t>
        </is>
      </c>
      <c r="P11" s="11" t="n">
        <v>19</v>
      </c>
      <c r="Q11" s="10" t="inlineStr">
        <is>
          <t>Pay-per-use</t>
        </is>
      </c>
      <c r="R11" s="11" t="n">
        <v>2.25</v>
      </c>
      <c r="S11" s="10" t="inlineStr">
        <is>
          <t>Pay-as-you-go</t>
        </is>
      </c>
      <c r="T11" s="11" t="n">
        <v>0</v>
      </c>
      <c r="U11" s="10" t="inlineStr">
        <is>
          <t>Free</t>
        </is>
      </c>
      <c r="V11" s="11" t="n">
        <v>0</v>
      </c>
      <c r="W11" s="11" t="n">
        <v>193.08</v>
      </c>
    </row>
    <row r="12">
      <c r="A12" s="23" t="n">
        <v>50</v>
      </c>
      <c r="B12" s="23" t="n">
        <v>30</v>
      </c>
      <c r="C12" s="12" t="inlineStr">
        <is>
          <t>Foundation</t>
        </is>
      </c>
      <c r="D12" s="13" t="n">
        <v>89.59999999999999</v>
      </c>
      <c r="E12" s="12" t="inlineStr">
        <is>
          <t>Starter</t>
        </is>
      </c>
      <c r="F12" s="13" t="n">
        <v>16</v>
      </c>
      <c r="G12" s="12" t="inlineStr">
        <is>
          <t>Pro</t>
        </is>
      </c>
      <c r="H12" s="13" t="n">
        <v>15</v>
      </c>
      <c r="I12" s="12" t="inlineStr">
        <is>
          <t>Pro</t>
        </is>
      </c>
      <c r="J12" s="13" t="n">
        <v>15</v>
      </c>
      <c r="K12" s="12" t="inlineStr">
        <is>
          <t>Pro</t>
        </is>
      </c>
      <c r="L12" s="13" t="n">
        <v>20</v>
      </c>
      <c r="M12" s="12" t="inlineStr">
        <is>
          <t>Pro</t>
        </is>
      </c>
      <c r="N12" s="13" t="n">
        <v>20</v>
      </c>
      <c r="O12" s="12" t="inlineStr">
        <is>
          <t>Starter</t>
        </is>
      </c>
      <c r="P12" s="13" t="n">
        <v>19</v>
      </c>
      <c r="Q12" s="12" t="inlineStr">
        <is>
          <t>Pay-per-use</t>
        </is>
      </c>
      <c r="R12" s="13" t="n">
        <v>4.5</v>
      </c>
      <c r="S12" s="12" t="inlineStr">
        <is>
          <t>Pay-as-you-go</t>
        </is>
      </c>
      <c r="T12" s="13" t="n">
        <v>0</v>
      </c>
      <c r="U12" s="12" t="inlineStr">
        <is>
          <t>Free</t>
        </is>
      </c>
      <c r="V12" s="13" t="n">
        <v>0</v>
      </c>
      <c r="W12" s="13" t="n">
        <v>210.93</v>
      </c>
    </row>
    <row r="13">
      <c r="A13" s="21" t="n">
        <v>75</v>
      </c>
      <c r="B13" s="21" t="n">
        <v>45</v>
      </c>
      <c r="C13" s="27" t="inlineStr">
        <is>
          <t>Foundation</t>
        </is>
      </c>
      <c r="D13" s="11" t="n">
        <v>127.4</v>
      </c>
      <c r="E13" s="27" t="inlineStr">
        <is>
          <t>Starter</t>
        </is>
      </c>
      <c r="F13" s="11" t="n">
        <v>16</v>
      </c>
      <c r="G13" s="27" t="inlineStr">
        <is>
          <t>Pro</t>
        </is>
      </c>
      <c r="H13" s="11" t="n">
        <v>15</v>
      </c>
      <c r="I13" s="27" t="inlineStr">
        <is>
          <t>Pro</t>
        </is>
      </c>
      <c r="J13" s="11" t="n">
        <v>15</v>
      </c>
      <c r="K13" s="10" t="inlineStr">
        <is>
          <t>Pro</t>
        </is>
      </c>
      <c r="L13" s="11" t="n">
        <v>20</v>
      </c>
      <c r="M13" s="10" t="inlineStr">
        <is>
          <t>Pro</t>
        </is>
      </c>
      <c r="N13" s="11" t="n">
        <v>20</v>
      </c>
      <c r="O13" s="10" t="inlineStr">
        <is>
          <t>Starter</t>
        </is>
      </c>
      <c r="P13" s="11" t="n">
        <v>19</v>
      </c>
      <c r="Q13" s="10" t="inlineStr">
        <is>
          <t>Pay-per-use</t>
        </is>
      </c>
      <c r="R13" s="11" t="n">
        <v>6.75</v>
      </c>
      <c r="S13" s="10" t="inlineStr">
        <is>
          <t>Pay-as-you-go</t>
        </is>
      </c>
      <c r="T13" s="11" t="n">
        <v>0</v>
      </c>
      <c r="U13" s="10" t="inlineStr">
        <is>
          <t>Free</t>
        </is>
      </c>
      <c r="V13" s="11" t="n">
        <v>0</v>
      </c>
      <c r="W13" s="11" t="n">
        <v>250.98</v>
      </c>
    </row>
    <row r="14">
      <c r="A14" s="23" t="n">
        <v>100</v>
      </c>
      <c r="B14" s="23" t="n">
        <v>60</v>
      </c>
      <c r="C14" s="12" t="inlineStr">
        <is>
          <t>Foundation</t>
        </is>
      </c>
      <c r="D14" s="13" t="n">
        <v>165.2</v>
      </c>
      <c r="E14" s="12" t="inlineStr">
        <is>
          <t>Starter</t>
        </is>
      </c>
      <c r="F14" s="13" t="n">
        <v>16</v>
      </c>
      <c r="G14" s="12" t="inlineStr">
        <is>
          <t>Ultra</t>
        </is>
      </c>
      <c r="H14" s="13" t="n">
        <v>50</v>
      </c>
      <c r="I14" s="12" t="inlineStr">
        <is>
          <t>Ultra</t>
        </is>
      </c>
      <c r="J14" s="13" t="n">
        <v>50</v>
      </c>
      <c r="K14" s="12" t="inlineStr">
        <is>
          <t>Pro</t>
        </is>
      </c>
      <c r="L14" s="13" t="n">
        <v>20</v>
      </c>
      <c r="M14" s="12" t="inlineStr">
        <is>
          <t>Pro</t>
        </is>
      </c>
      <c r="N14" s="13" t="n">
        <v>20</v>
      </c>
      <c r="O14" s="12" t="inlineStr">
        <is>
          <t>Starter</t>
        </is>
      </c>
      <c r="P14" s="13" t="n">
        <v>19</v>
      </c>
      <c r="Q14" s="12" t="inlineStr">
        <is>
          <t>Pay-per-use</t>
        </is>
      </c>
      <c r="R14" s="13" t="n">
        <v>9</v>
      </c>
      <c r="S14" s="12" t="inlineStr">
        <is>
          <t>Pay-as-you-go</t>
        </is>
      </c>
      <c r="T14" s="13" t="n">
        <v>0</v>
      </c>
      <c r="U14" s="12" t="inlineStr">
        <is>
          <t>Free</t>
        </is>
      </c>
      <c r="V14" s="13" t="n">
        <v>0</v>
      </c>
      <c r="W14" s="13" t="n">
        <v>361.03</v>
      </c>
    </row>
    <row r="15">
      <c r="A15" s="21" t="n">
        <v>150</v>
      </c>
      <c r="B15" s="21" t="n">
        <v>90</v>
      </c>
      <c r="C15" s="27" t="inlineStr">
        <is>
          <t>Growth</t>
        </is>
      </c>
      <c r="D15" s="11" t="n">
        <v>199</v>
      </c>
      <c r="E15" s="27" t="inlineStr">
        <is>
          <t>Starter</t>
        </is>
      </c>
      <c r="F15" s="11" t="n">
        <v>16</v>
      </c>
      <c r="G15" s="27" t="inlineStr">
        <is>
          <t>Ultra</t>
        </is>
      </c>
      <c r="H15" s="11" t="n">
        <v>50</v>
      </c>
      <c r="I15" s="27" t="inlineStr">
        <is>
          <t>Ultra</t>
        </is>
      </c>
      <c r="J15" s="11" t="n">
        <v>50</v>
      </c>
      <c r="K15" s="10" t="inlineStr">
        <is>
          <t>Pro</t>
        </is>
      </c>
      <c r="L15" s="11" t="n">
        <v>20</v>
      </c>
      <c r="M15" s="10" t="inlineStr">
        <is>
          <t>Pro</t>
        </is>
      </c>
      <c r="N15" s="11" t="n">
        <v>20</v>
      </c>
      <c r="O15" s="10" t="inlineStr">
        <is>
          <t>Starter</t>
        </is>
      </c>
      <c r="P15" s="11" t="n">
        <v>19</v>
      </c>
      <c r="Q15" s="10" t="inlineStr">
        <is>
          <t>Pay-per-use</t>
        </is>
      </c>
      <c r="R15" s="11" t="n">
        <v>13.5</v>
      </c>
      <c r="S15" s="10" t="inlineStr">
        <is>
          <t>Pay-as-you-go</t>
        </is>
      </c>
      <c r="T15" s="11" t="n">
        <v>0</v>
      </c>
      <c r="U15" s="10" t="inlineStr">
        <is>
          <t>Free</t>
        </is>
      </c>
      <c r="V15" s="11" t="n">
        <v>0</v>
      </c>
      <c r="W15" s="11" t="n">
        <v>399.33</v>
      </c>
    </row>
    <row r="16">
      <c r="A16" s="23" t="n">
        <v>200</v>
      </c>
      <c r="B16" s="23" t="n">
        <v>120</v>
      </c>
      <c r="C16" s="12" t="inlineStr">
        <is>
          <t>Growth</t>
        </is>
      </c>
      <c r="D16" s="13" t="n">
        <v>200.2</v>
      </c>
      <c r="E16" s="12" t="inlineStr">
        <is>
          <t>Starter</t>
        </is>
      </c>
      <c r="F16" s="13" t="n">
        <v>16</v>
      </c>
      <c r="G16" s="12" t="inlineStr">
        <is>
          <t>Ultra</t>
        </is>
      </c>
      <c r="H16" s="13" t="n">
        <v>50</v>
      </c>
      <c r="I16" s="12" t="inlineStr">
        <is>
          <t>Ultra</t>
        </is>
      </c>
      <c r="J16" s="13" t="n">
        <v>50</v>
      </c>
      <c r="K16" s="12" t="inlineStr">
        <is>
          <t>Pro</t>
        </is>
      </c>
      <c r="L16" s="13" t="n">
        <v>20</v>
      </c>
      <c r="M16" s="12" t="inlineStr">
        <is>
          <t>Pro</t>
        </is>
      </c>
      <c r="N16" s="13" t="n">
        <v>20</v>
      </c>
      <c r="O16" s="12" t="inlineStr">
        <is>
          <t>Production</t>
        </is>
      </c>
      <c r="P16" s="13" t="n">
        <v>199</v>
      </c>
      <c r="Q16" s="12" t="inlineStr">
        <is>
          <t>Pay-per-use</t>
        </is>
      </c>
      <c r="R16" s="13" t="n">
        <v>18</v>
      </c>
      <c r="S16" s="12" t="inlineStr">
        <is>
          <t>Pay-as-you-go</t>
        </is>
      </c>
      <c r="T16" s="13" t="n">
        <v>0</v>
      </c>
      <c r="U16" s="12" t="inlineStr">
        <is>
          <t>Free</t>
        </is>
      </c>
      <c r="V16" s="13" t="n">
        <v>0</v>
      </c>
      <c r="W16" s="13" t="n">
        <v>585.03</v>
      </c>
    </row>
    <row r="17">
      <c r="A17" s="21" t="n">
        <v>250</v>
      </c>
      <c r="B17" s="21" t="n">
        <v>150</v>
      </c>
      <c r="C17" s="27" t="inlineStr">
        <is>
          <t>Growth</t>
        </is>
      </c>
      <c r="D17" s="11" t="n">
        <v>238</v>
      </c>
      <c r="E17" s="27" t="inlineStr">
        <is>
          <t>Starter</t>
        </is>
      </c>
      <c r="F17" s="11" t="n">
        <v>16</v>
      </c>
      <c r="G17" s="27" t="inlineStr">
        <is>
          <t>Ultra</t>
        </is>
      </c>
      <c r="H17" s="11" t="n">
        <v>50</v>
      </c>
      <c r="I17" s="27" t="inlineStr">
        <is>
          <t>Ultra</t>
        </is>
      </c>
      <c r="J17" s="11" t="n">
        <v>50</v>
      </c>
      <c r="K17" s="27" t="inlineStr">
        <is>
          <t>Pro (scaled)</t>
        </is>
      </c>
      <c r="L17" s="11" t="n">
        <v>50</v>
      </c>
      <c r="M17" s="10" t="inlineStr">
        <is>
          <t>Pro</t>
        </is>
      </c>
      <c r="N17" s="11" t="n">
        <v>20</v>
      </c>
      <c r="O17" s="27" t="inlineStr">
        <is>
          <t>Production</t>
        </is>
      </c>
      <c r="P17" s="11" t="n">
        <v>199</v>
      </c>
      <c r="Q17" s="10" t="inlineStr">
        <is>
          <t>Pay-per-use</t>
        </is>
      </c>
      <c r="R17" s="11" t="n">
        <v>22.5</v>
      </c>
      <c r="S17" s="10" t="inlineStr">
        <is>
          <t>Pay-as-you-go</t>
        </is>
      </c>
      <c r="T17" s="11" t="n">
        <v>0</v>
      </c>
      <c r="U17" s="10" t="inlineStr">
        <is>
          <t>Free</t>
        </is>
      </c>
      <c r="V17" s="11" t="n">
        <v>0</v>
      </c>
      <c r="W17" s="11" t="n">
        <v>657.33</v>
      </c>
    </row>
    <row r="18">
      <c r="A18" s="23" t="n">
        <v>300</v>
      </c>
      <c r="B18" s="23" t="n">
        <v>180</v>
      </c>
      <c r="C18" s="12" t="inlineStr">
        <is>
          <t>Growth</t>
        </is>
      </c>
      <c r="D18" s="13" t="n">
        <v>275.8</v>
      </c>
      <c r="E18" s="12" t="inlineStr">
        <is>
          <t>Starter</t>
        </is>
      </c>
      <c r="F18" s="13" t="n">
        <v>16</v>
      </c>
      <c r="G18" s="12" t="inlineStr">
        <is>
          <t>Ultra</t>
        </is>
      </c>
      <c r="H18" s="13" t="n">
        <v>50</v>
      </c>
      <c r="I18" s="12" t="inlineStr">
        <is>
          <t>Ultra</t>
        </is>
      </c>
      <c r="J18" s="13" t="n">
        <v>50</v>
      </c>
      <c r="K18" s="12" t="inlineStr">
        <is>
          <t>Pro (scaled)</t>
        </is>
      </c>
      <c r="L18" s="13" t="n">
        <v>50</v>
      </c>
      <c r="M18" s="12" t="inlineStr">
        <is>
          <t>Pro</t>
        </is>
      </c>
      <c r="N18" s="13" t="n">
        <v>20</v>
      </c>
      <c r="O18" s="12" t="inlineStr">
        <is>
          <t>Production</t>
        </is>
      </c>
      <c r="P18" s="13" t="n">
        <v>199</v>
      </c>
      <c r="Q18" s="12" t="inlineStr">
        <is>
          <t>Pay-per-use</t>
        </is>
      </c>
      <c r="R18" s="13" t="n">
        <v>27</v>
      </c>
      <c r="S18" s="12" t="inlineStr">
        <is>
          <t>Pay-as-you-go</t>
        </is>
      </c>
      <c r="T18" s="13" t="n">
        <v>0</v>
      </c>
      <c r="U18" s="12" t="inlineStr">
        <is>
          <t>Free</t>
        </is>
      </c>
      <c r="V18" s="13" t="n">
        <v>0</v>
      </c>
      <c r="W18" s="13" t="n">
        <v>699.63</v>
      </c>
    </row>
    <row r="19">
      <c r="A19" s="21" t="n">
        <v>400</v>
      </c>
      <c r="B19" s="21" t="n">
        <v>240</v>
      </c>
      <c r="C19" s="27" t="inlineStr">
        <is>
          <t>Growth</t>
        </is>
      </c>
      <c r="D19" s="11" t="n">
        <v>351.4</v>
      </c>
      <c r="E19" s="27" t="inlineStr">
        <is>
          <t>Starter</t>
        </is>
      </c>
      <c r="F19" s="11" t="n">
        <v>16</v>
      </c>
      <c r="G19" s="27" t="inlineStr">
        <is>
          <t>Mega</t>
        </is>
      </c>
      <c r="H19" s="11" t="n">
        <v>100</v>
      </c>
      <c r="I19" s="27" t="inlineStr">
        <is>
          <t>Mega</t>
        </is>
      </c>
      <c r="J19" s="11" t="n">
        <v>100</v>
      </c>
      <c r="K19" s="27" t="inlineStr">
        <is>
          <t>Pro (scaled)</t>
        </is>
      </c>
      <c r="L19" s="11" t="n">
        <v>50</v>
      </c>
      <c r="M19" s="10" t="inlineStr">
        <is>
          <t>Pro</t>
        </is>
      </c>
      <c r="N19" s="11" t="n">
        <v>20</v>
      </c>
      <c r="O19" s="27" t="inlineStr">
        <is>
          <t>Production</t>
        </is>
      </c>
      <c r="P19" s="11" t="n">
        <v>199</v>
      </c>
      <c r="Q19" s="10" t="inlineStr">
        <is>
          <t>Pay-per-use</t>
        </is>
      </c>
      <c r="R19" s="11" t="n">
        <v>36</v>
      </c>
      <c r="S19" s="10" t="inlineStr">
        <is>
          <t>Pay-as-you-go</t>
        </is>
      </c>
      <c r="T19" s="11" t="n">
        <v>0</v>
      </c>
      <c r="U19" s="10" t="inlineStr">
        <is>
          <t>1% MTR</t>
        </is>
      </c>
      <c r="V19" s="11" t="n">
        <v>4.59</v>
      </c>
      <c r="W19" s="11" t="n">
        <v>888.8200000000001</v>
      </c>
    </row>
    <row r="20">
      <c r="A20" s="23" t="n">
        <v>500</v>
      </c>
      <c r="B20" s="23" t="n">
        <v>300</v>
      </c>
      <c r="C20" s="12" t="inlineStr">
        <is>
          <t>Growth</t>
        </is>
      </c>
      <c r="D20" s="13" t="n">
        <v>427</v>
      </c>
      <c r="E20" s="12" t="inlineStr">
        <is>
          <t>Starter</t>
        </is>
      </c>
      <c r="F20" s="13" t="n">
        <v>16</v>
      </c>
      <c r="G20" s="12" t="inlineStr">
        <is>
          <t>Mega</t>
        </is>
      </c>
      <c r="H20" s="13" t="n">
        <v>100</v>
      </c>
      <c r="I20" s="12" t="inlineStr">
        <is>
          <t>Mega</t>
        </is>
      </c>
      <c r="J20" s="13" t="n">
        <v>100</v>
      </c>
      <c r="K20" s="12" t="inlineStr">
        <is>
          <t>Pro (scaled)</t>
        </is>
      </c>
      <c r="L20" s="13" t="n">
        <v>50</v>
      </c>
      <c r="M20" s="12" t="inlineStr">
        <is>
          <t>Pro</t>
        </is>
      </c>
      <c r="N20" s="13" t="n">
        <v>20</v>
      </c>
      <c r="O20" s="12" t="inlineStr">
        <is>
          <t>Production</t>
        </is>
      </c>
      <c r="P20" s="13" t="n">
        <v>199</v>
      </c>
      <c r="Q20" s="12" t="inlineStr">
        <is>
          <t>Pay-per-use</t>
        </is>
      </c>
      <c r="R20" s="13" t="n">
        <v>45</v>
      </c>
      <c r="S20" s="12" t="inlineStr">
        <is>
          <t>Pay-as-you-go</t>
        </is>
      </c>
      <c r="T20" s="13" t="n">
        <v>0</v>
      </c>
      <c r="U20" s="12" t="inlineStr">
        <is>
          <t>1% MTR</t>
        </is>
      </c>
      <c r="V20" s="13" t="n">
        <v>11.99</v>
      </c>
      <c r="W20" s="13" t="n">
        <v>980.8200000000001</v>
      </c>
    </row>
    <row r="21">
      <c r="A21" s="21" t="n">
        <v>750</v>
      </c>
      <c r="B21" s="21" t="n">
        <v>450</v>
      </c>
      <c r="C21" s="27" t="inlineStr">
        <is>
          <t>Scale</t>
        </is>
      </c>
      <c r="D21" s="11" t="n">
        <v>449</v>
      </c>
      <c r="E21" s="27" t="inlineStr">
        <is>
          <t>Starter</t>
        </is>
      </c>
      <c r="F21" s="11" t="n">
        <v>16</v>
      </c>
      <c r="G21" s="27" t="inlineStr">
        <is>
          <t>Mega</t>
        </is>
      </c>
      <c r="H21" s="11" t="n">
        <v>100</v>
      </c>
      <c r="I21" s="27" t="inlineStr">
        <is>
          <t>Mega</t>
        </is>
      </c>
      <c r="J21" s="11" t="n">
        <v>100</v>
      </c>
      <c r="K21" s="27" t="inlineStr">
        <is>
          <t>Pro (heavy)</t>
        </is>
      </c>
      <c r="L21" s="11" t="n">
        <v>100</v>
      </c>
      <c r="M21" s="27" t="inlineStr">
        <is>
          <t>Pro (scaled)</t>
        </is>
      </c>
      <c r="N21" s="11" t="n">
        <v>40</v>
      </c>
      <c r="O21" s="27" t="inlineStr">
        <is>
          <t>Production</t>
        </is>
      </c>
      <c r="P21" s="11" t="n">
        <v>199</v>
      </c>
      <c r="Q21" s="10" t="inlineStr">
        <is>
          <t>Pay-per-use</t>
        </is>
      </c>
      <c r="R21" s="11" t="n">
        <v>67.5</v>
      </c>
      <c r="S21" s="10" t="inlineStr">
        <is>
          <t>Pay-as-you-go</t>
        </is>
      </c>
      <c r="T21" s="11" t="n">
        <v>0</v>
      </c>
      <c r="U21" s="10" t="inlineStr">
        <is>
          <t>1% MTR</t>
        </is>
      </c>
      <c r="V21" s="11" t="n">
        <v>30.48</v>
      </c>
      <c r="W21" s="11" t="n">
        <v>1113.81</v>
      </c>
    </row>
    <row r="22">
      <c r="A22" s="23" t="n">
        <v>1000</v>
      </c>
      <c r="B22" s="23" t="n">
        <v>600</v>
      </c>
      <c r="C22" s="12" t="inlineStr">
        <is>
          <t>Scale</t>
        </is>
      </c>
      <c r="D22" s="13" t="n">
        <v>452</v>
      </c>
      <c r="E22" s="12" t="inlineStr">
        <is>
          <t>Starter</t>
        </is>
      </c>
      <c r="F22" s="13" t="n">
        <v>16</v>
      </c>
      <c r="G22" s="12" t="inlineStr">
        <is>
          <t>Custom</t>
        </is>
      </c>
      <c r="H22" s="13" t="n">
        <v>250</v>
      </c>
      <c r="I22" s="12" t="inlineStr">
        <is>
          <t>Custom</t>
        </is>
      </c>
      <c r="J22" s="13" t="n">
        <v>250</v>
      </c>
      <c r="K22" s="12" t="inlineStr">
        <is>
          <t>Pro (heavy)</t>
        </is>
      </c>
      <c r="L22" s="13" t="n">
        <v>100</v>
      </c>
      <c r="M22" s="12" t="inlineStr">
        <is>
          <t>Pro (scaled)</t>
        </is>
      </c>
      <c r="N22" s="13" t="n">
        <v>40</v>
      </c>
      <c r="O22" s="12" t="inlineStr">
        <is>
          <t>Production</t>
        </is>
      </c>
      <c r="P22" s="13" t="n">
        <v>199</v>
      </c>
      <c r="Q22" s="12" t="inlineStr">
        <is>
          <t>Pay-per-use</t>
        </is>
      </c>
      <c r="R22" s="13" t="n">
        <v>90</v>
      </c>
      <c r="S22" s="12" t="inlineStr">
        <is>
          <t>Pay-as-you-go</t>
        </is>
      </c>
      <c r="T22" s="13" t="n">
        <v>0</v>
      </c>
      <c r="U22" s="12" t="inlineStr">
        <is>
          <t>1% MTR</t>
        </is>
      </c>
      <c r="V22" s="13" t="n">
        <v>48.98</v>
      </c>
      <c r="W22" s="13" t="n">
        <v>1457.81</v>
      </c>
    </row>
    <row r="23">
      <c r="A23" s="21" t="n">
        <v>1500</v>
      </c>
      <c r="B23" s="21" t="n">
        <v>900</v>
      </c>
      <c r="C23" s="27" t="inlineStr">
        <is>
          <t>Scale</t>
        </is>
      </c>
      <c r="D23" s="11" t="n">
        <v>641</v>
      </c>
      <c r="E23" s="27" t="inlineStr">
        <is>
          <t>Production</t>
        </is>
      </c>
      <c r="F23" s="11" t="n">
        <v>82</v>
      </c>
      <c r="G23" s="27" t="inlineStr">
        <is>
          <t>Custom</t>
        </is>
      </c>
      <c r="H23" s="11" t="n">
        <v>250</v>
      </c>
      <c r="I23" s="27" t="inlineStr">
        <is>
          <t>Custom</t>
        </is>
      </c>
      <c r="J23" s="11" t="n">
        <v>250</v>
      </c>
      <c r="K23" s="27" t="inlineStr">
        <is>
          <t>Pro (heavy)</t>
        </is>
      </c>
      <c r="L23" s="11" t="n">
        <v>100</v>
      </c>
      <c r="M23" s="27" t="inlineStr">
        <is>
          <t>Pro (scaled)</t>
        </is>
      </c>
      <c r="N23" s="11" t="n">
        <v>40</v>
      </c>
      <c r="O23" s="27" t="inlineStr">
        <is>
          <t>Production</t>
        </is>
      </c>
      <c r="P23" s="11" t="n">
        <v>199</v>
      </c>
      <c r="Q23" s="10" t="inlineStr">
        <is>
          <t>Pay-per-use</t>
        </is>
      </c>
      <c r="R23" s="11" t="n">
        <v>135</v>
      </c>
      <c r="S23" s="10" t="inlineStr">
        <is>
          <t>Pay-as-you-go</t>
        </is>
      </c>
      <c r="T23" s="11" t="n">
        <v>0</v>
      </c>
      <c r="U23" s="10" t="inlineStr">
        <is>
          <t>1% MTR</t>
        </is>
      </c>
      <c r="V23" s="11" t="n">
        <v>85.97</v>
      </c>
      <c r="W23" s="11" t="n">
        <v>1794.8</v>
      </c>
    </row>
    <row r="24">
      <c r="A24" s="23" t="n">
        <v>2000</v>
      </c>
      <c r="B24" s="23" t="n">
        <v>1200</v>
      </c>
      <c r="C24" s="12" t="inlineStr">
        <is>
          <t>Scale</t>
        </is>
      </c>
      <c r="D24" s="13" t="n">
        <v>830</v>
      </c>
      <c r="E24" s="12" t="inlineStr">
        <is>
          <t>Production</t>
        </is>
      </c>
      <c r="F24" s="13" t="n">
        <v>82</v>
      </c>
      <c r="G24" s="12" t="inlineStr">
        <is>
          <t>Custom</t>
        </is>
      </c>
      <c r="H24" s="13" t="n">
        <v>250</v>
      </c>
      <c r="I24" s="12" t="inlineStr">
        <is>
          <t>Custom</t>
        </is>
      </c>
      <c r="J24" s="13" t="n">
        <v>250</v>
      </c>
      <c r="K24" s="12" t="inlineStr">
        <is>
          <t>Pro (high)</t>
        </is>
      </c>
      <c r="L24" s="13" t="n">
        <v>200</v>
      </c>
      <c r="M24" s="12" t="inlineStr">
        <is>
          <t>Pro (scaled)</t>
        </is>
      </c>
      <c r="N24" s="13" t="n">
        <v>40</v>
      </c>
      <c r="O24" s="12" t="inlineStr">
        <is>
          <t>Production</t>
        </is>
      </c>
      <c r="P24" s="13" t="n">
        <v>199</v>
      </c>
      <c r="Q24" s="12" t="inlineStr">
        <is>
          <t>Pay-per-use</t>
        </is>
      </c>
      <c r="R24" s="13" t="n">
        <v>180</v>
      </c>
      <c r="S24" s="12" t="inlineStr">
        <is>
          <t>Pay-as-you-go</t>
        </is>
      </c>
      <c r="T24" s="13" t="n">
        <v>0</v>
      </c>
      <c r="U24" s="12" t="inlineStr">
        <is>
          <t>1% MTR</t>
        </is>
      </c>
      <c r="V24" s="13" t="n">
        <v>122.96</v>
      </c>
      <c r="W24" s="13" t="n">
        <v>2165.79</v>
      </c>
    </row>
    <row r="25">
      <c r="A25" s="21" t="n">
        <v>3000</v>
      </c>
      <c r="B25" s="21" t="n">
        <v>1800</v>
      </c>
      <c r="C25" s="27" t="inlineStr">
        <is>
          <t>Scale</t>
        </is>
      </c>
      <c r="D25" s="11" t="n">
        <v>1208</v>
      </c>
      <c r="E25" s="27" t="inlineStr">
        <is>
          <t>Production</t>
        </is>
      </c>
      <c r="F25" s="11" t="n">
        <v>82</v>
      </c>
      <c r="G25" s="27" t="inlineStr">
        <is>
          <t>Custom</t>
        </is>
      </c>
      <c r="H25" s="11" t="n">
        <v>250</v>
      </c>
      <c r="I25" s="27" t="inlineStr">
        <is>
          <t>Custom</t>
        </is>
      </c>
      <c r="J25" s="11" t="n">
        <v>250</v>
      </c>
      <c r="K25" s="27" t="inlineStr">
        <is>
          <t>Pro (high)</t>
        </is>
      </c>
      <c r="L25" s="11" t="n">
        <v>200</v>
      </c>
      <c r="M25" s="27" t="inlineStr">
        <is>
          <t>Enterprise</t>
        </is>
      </c>
      <c r="N25" s="11" t="n">
        <v>100</v>
      </c>
      <c r="O25" s="27" t="inlineStr">
        <is>
          <t>Custom</t>
        </is>
      </c>
      <c r="P25" s="11" t="n">
        <v>499</v>
      </c>
      <c r="Q25" s="10" t="inlineStr">
        <is>
          <t>Pay-per-use</t>
        </is>
      </c>
      <c r="R25" s="11" t="n">
        <v>270</v>
      </c>
      <c r="S25" s="10" t="inlineStr">
        <is>
          <t>Pay-as-you-go</t>
        </is>
      </c>
      <c r="T25" s="11" t="n">
        <v>0</v>
      </c>
      <c r="U25" s="10" t="inlineStr">
        <is>
          <t>1% MTR</t>
        </is>
      </c>
      <c r="V25" s="11" t="n">
        <v>196.94</v>
      </c>
      <c r="W25" s="11" t="n">
        <v>3067.77</v>
      </c>
    </row>
    <row r="26">
      <c r="A26" s="23" t="n">
        <v>5000</v>
      </c>
      <c r="B26" s="23" t="n">
        <v>3000</v>
      </c>
      <c r="C26" s="12" t="inlineStr">
        <is>
          <t>Scale</t>
        </is>
      </c>
      <c r="D26" s="13" t="n">
        <v>1964</v>
      </c>
      <c r="E26" s="12" t="inlineStr">
        <is>
          <t>Production</t>
        </is>
      </c>
      <c r="F26" s="13" t="n">
        <v>82</v>
      </c>
      <c r="G26" s="12" t="inlineStr">
        <is>
          <t>Custom</t>
        </is>
      </c>
      <c r="H26" s="13" t="n">
        <v>380</v>
      </c>
      <c r="I26" s="12" t="inlineStr">
        <is>
          <t>Custom</t>
        </is>
      </c>
      <c r="J26" s="13" t="n">
        <v>380</v>
      </c>
      <c r="K26" s="12" t="inlineStr">
        <is>
          <t>Pro (high)</t>
        </is>
      </c>
      <c r="L26" s="13" t="n">
        <v>200</v>
      </c>
      <c r="M26" s="12" t="inlineStr">
        <is>
          <t>Enterprise</t>
        </is>
      </c>
      <c r="N26" s="13" t="n">
        <v>100</v>
      </c>
      <c r="O26" s="12" t="inlineStr">
        <is>
          <t>Custom</t>
        </is>
      </c>
      <c r="P26" s="13" t="n">
        <v>499</v>
      </c>
      <c r="Q26" s="12" t="inlineStr">
        <is>
          <t>Pay-per-use</t>
        </is>
      </c>
      <c r="R26" s="13" t="n">
        <v>450</v>
      </c>
      <c r="S26" s="12" t="inlineStr">
        <is>
          <t>Pay-as-you-go</t>
        </is>
      </c>
      <c r="T26" s="13" t="n">
        <v>83.5</v>
      </c>
      <c r="U26" s="12" t="inlineStr">
        <is>
          <t>1% MTR</t>
        </is>
      </c>
      <c r="V26" s="13" t="n">
        <v>344.9</v>
      </c>
      <c r="W26" s="13" t="n">
        <v>4495.23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H6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22" customWidth="1" min="4" max="4"/>
    <col width="18" customWidth="1" min="5" max="5"/>
    <col width="22" customWidth="1" min="6" max="6"/>
    <col width="15" customWidth="1" min="7" max="7"/>
    <col width="12" customWidth="1" min="8" max="8"/>
  </cols>
  <sheetData>
    <row r="1">
      <c r="A1" s="19" t="inlineStr">
        <is>
          <t>API Capacity &amp; Plan Transitions</t>
        </is>
      </c>
    </row>
    <row r="2"/>
    <row r="3">
      <c r="A3" s="28" t="inlineStr">
        <is>
          <t>RentCast — PLAN TIERS</t>
        </is>
      </c>
    </row>
    <row r="4">
      <c r="A4" s="9" t="inlineStr">
        <is>
          <t>Plan</t>
        </is>
      </c>
      <c r="B4" s="9" t="inlineStr">
        <is>
          <t>Monthly Fee</t>
        </is>
      </c>
      <c r="C4" s="9" t="inlineStr">
        <is>
          <t>Included Quota</t>
        </is>
      </c>
      <c r="D4" s="9" t="inlineStr">
        <is>
          <t>Overage Rate</t>
        </is>
      </c>
      <c r="E4" s="9" t="inlineStr">
        <is>
          <t>Max Active Subs</t>
        </is>
      </c>
      <c r="F4" s="9" t="inlineStr">
        <is>
          <t>Max Paid Subs (60%)</t>
        </is>
      </c>
      <c r="G4" s="9" t="inlineStr">
        <is>
          <t>Calls/Search</t>
        </is>
      </c>
    </row>
    <row r="5">
      <c r="A5" s="10" t="inlineStr">
        <is>
          <t>Developer</t>
        </is>
      </c>
      <c r="B5" s="11" t="n">
        <v>0</v>
      </c>
      <c r="C5" s="21" t="n">
        <v>50</v>
      </c>
      <c r="D5" s="10" t="inlineStr">
        <is>
          <t>$0.2/req</t>
        </is>
      </c>
      <c r="E5" s="21" t="n">
        <v>1</v>
      </c>
      <c r="F5" s="21" t="n">
        <v>2</v>
      </c>
      <c r="G5" s="10" t="n">
        <v>4</v>
      </c>
    </row>
    <row r="6">
      <c r="A6" s="12" t="inlineStr">
        <is>
          <t>Foundation</t>
        </is>
      </c>
      <c r="B6" s="13" t="n">
        <v>74</v>
      </c>
      <c r="C6" s="23" t="n">
        <v>1000</v>
      </c>
      <c r="D6" s="12" t="inlineStr">
        <is>
          <t>$0.06/req</t>
        </is>
      </c>
      <c r="E6" s="23" t="n">
        <v>24</v>
      </c>
      <c r="F6" s="23" t="n">
        <v>40</v>
      </c>
      <c r="G6" s="12" t="n">
        <v>4</v>
      </c>
    </row>
    <row r="7">
      <c r="A7" s="10" t="inlineStr">
        <is>
          <t>Growth</t>
        </is>
      </c>
      <c r="B7" s="11" t="n">
        <v>199</v>
      </c>
      <c r="C7" s="21" t="n">
        <v>5000</v>
      </c>
      <c r="D7" s="10" t="inlineStr">
        <is>
          <t>$0.03/req</t>
        </is>
      </c>
      <c r="E7" s="21" t="n">
        <v>119</v>
      </c>
      <c r="F7" s="21" t="n">
        <v>198</v>
      </c>
      <c r="G7" s="10" t="n">
        <v>4</v>
      </c>
    </row>
    <row r="8">
      <c r="A8" s="12" t="inlineStr">
        <is>
          <t>Scale</t>
        </is>
      </c>
      <c r="B8" s="13" t="n">
        <v>449</v>
      </c>
      <c r="C8" s="23" t="n">
        <v>25000</v>
      </c>
      <c r="D8" s="12" t="inlineStr">
        <is>
          <t>$0.015/req</t>
        </is>
      </c>
      <c r="E8" s="23" t="n">
        <v>595</v>
      </c>
      <c r="F8" s="23" t="n">
        <v>992</v>
      </c>
      <c r="G8" s="12" t="n">
        <v>4</v>
      </c>
    </row>
    <row r="9"/>
    <row r="10">
      <c r="A10" s="28" t="inlineStr">
        <is>
          <t>Zillow / AXESSO — PLAN TIERS</t>
        </is>
      </c>
    </row>
    <row r="11">
      <c r="A11" s="9" t="inlineStr">
        <is>
          <t>Plan</t>
        </is>
      </c>
      <c r="B11" s="9" t="inlineStr">
        <is>
          <t>Monthly Fee</t>
        </is>
      </c>
      <c r="C11" s="9" t="inlineStr">
        <is>
          <t>Included Quota</t>
        </is>
      </c>
      <c r="D11" s="9" t="inlineStr">
        <is>
          <t>Overage Rate</t>
        </is>
      </c>
      <c r="E11" s="9" t="inlineStr">
        <is>
          <t>Max Active Subs</t>
        </is>
      </c>
      <c r="F11" s="9" t="inlineStr">
        <is>
          <t>Max Paid Subs (60%)</t>
        </is>
      </c>
      <c r="G11" s="9" t="inlineStr">
        <is>
          <t>Calls/Search</t>
        </is>
      </c>
    </row>
    <row r="12">
      <c r="A12" s="10" t="inlineStr">
        <is>
          <t>Free Trial</t>
        </is>
      </c>
      <c r="B12" s="11" t="n">
        <v>0</v>
      </c>
      <c r="C12" s="21" t="n">
        <v>10</v>
      </c>
      <c r="D12" s="10" t="inlineStr">
        <is>
          <t>n/a (must upgrade)</t>
        </is>
      </c>
      <c r="E12" s="21" t="n">
        <v>1</v>
      </c>
      <c r="F12" s="21" t="n">
        <v>1</v>
      </c>
      <c r="G12" s="10" t="n">
        <v>1.5</v>
      </c>
    </row>
    <row r="13">
      <c r="A13" s="12" t="inlineStr">
        <is>
          <t>Starter</t>
        </is>
      </c>
      <c r="B13" s="13" t="n">
        <v>16</v>
      </c>
      <c r="C13" s="23" t="n">
        <v>10000</v>
      </c>
      <c r="D13" s="12" t="inlineStr">
        <is>
          <t>n/a (must upgrade)</t>
        </is>
      </c>
      <c r="E13" s="23" t="n">
        <v>635</v>
      </c>
      <c r="F13" s="23" t="n">
        <v>1058</v>
      </c>
      <c r="G13" s="12" t="n">
        <v>1.5</v>
      </c>
    </row>
    <row r="14">
      <c r="A14" s="10" t="inlineStr">
        <is>
          <t>Production</t>
        </is>
      </c>
      <c r="B14" s="11" t="n">
        <v>82</v>
      </c>
      <c r="C14" s="21" t="n">
        <v>100000</v>
      </c>
      <c r="D14" s="10" t="inlineStr">
        <is>
          <t>n/a (must upgrade)</t>
        </is>
      </c>
      <c r="E14" s="21" t="n">
        <v>6349</v>
      </c>
      <c r="F14" s="21" t="n">
        <v>10582</v>
      </c>
      <c r="G14" s="10" t="n">
        <v>1.5</v>
      </c>
    </row>
    <row r="15">
      <c r="A15" s="12" t="inlineStr">
        <is>
          <t>Business</t>
        </is>
      </c>
      <c r="B15" s="13" t="n">
        <v>164</v>
      </c>
      <c r="C15" s="23" t="n">
        <v>300000</v>
      </c>
      <c r="D15" s="12" t="inlineStr">
        <is>
          <t>n/a (must upgrade)</t>
        </is>
      </c>
      <c r="E15" s="23" t="n">
        <v>19048</v>
      </c>
      <c r="F15" s="23" t="n">
        <v>31746</v>
      </c>
      <c r="G15" s="12" t="n">
        <v>1.5</v>
      </c>
    </row>
    <row r="16">
      <c r="A16" s="10" t="inlineStr">
        <is>
          <t>Ent. Basic</t>
        </is>
      </c>
      <c r="B16" s="11" t="n">
        <v>493</v>
      </c>
      <c r="C16" s="21" t="n">
        <v>1000000</v>
      </c>
      <c r="D16" s="10" t="inlineStr">
        <is>
          <t>n/a (must upgrade)</t>
        </is>
      </c>
      <c r="E16" s="21" t="n">
        <v>63492</v>
      </c>
      <c r="F16" s="21" t="n">
        <v>105820</v>
      </c>
      <c r="G16" s="10" t="n">
        <v>1.5</v>
      </c>
    </row>
    <row r="17">
      <c r="A17" s="12" t="inlineStr">
        <is>
          <t>Ent. Premium</t>
        </is>
      </c>
      <c r="B17" s="13" t="n">
        <v>877</v>
      </c>
      <c r="C17" s="23" t="n">
        <v>2500000</v>
      </c>
      <c r="D17" s="12" t="inlineStr">
        <is>
          <t>$0.001/req</t>
        </is>
      </c>
      <c r="E17" s="23" t="n">
        <v>158730</v>
      </c>
      <c r="F17" s="23" t="n">
        <v>264550</v>
      </c>
      <c r="G17" s="12" t="n">
        <v>1.5</v>
      </c>
    </row>
    <row r="18"/>
    <row r="19">
      <c r="A19" s="28" t="inlineStr">
        <is>
          <t>RapidAPI — Redfin — PLAN TIERS</t>
        </is>
      </c>
    </row>
    <row r="20">
      <c r="A20" s="9" t="inlineStr">
        <is>
          <t>Plan</t>
        </is>
      </c>
      <c r="B20" s="9" t="inlineStr">
        <is>
          <t>Monthly Fee</t>
        </is>
      </c>
      <c r="C20" s="9" t="inlineStr">
        <is>
          <t>Included Quota</t>
        </is>
      </c>
      <c r="D20" s="9" t="inlineStr">
        <is>
          <t>Overage Rate</t>
        </is>
      </c>
      <c r="E20" s="9" t="inlineStr">
        <is>
          <t>Max Active Subs</t>
        </is>
      </c>
      <c r="F20" s="9" t="inlineStr">
        <is>
          <t>Max Paid Subs (60%)</t>
        </is>
      </c>
      <c r="G20" s="9" t="inlineStr">
        <is>
          <t>Calls/Search</t>
        </is>
      </c>
    </row>
    <row r="21">
      <c r="A21" s="10" t="inlineStr">
        <is>
          <t>Basic</t>
        </is>
      </c>
      <c r="B21" s="11" t="n">
        <v>0</v>
      </c>
      <c r="C21" s="21" t="n">
        <v>100</v>
      </c>
      <c r="D21" s="10" t="inlineStr">
        <is>
          <t>n/a (must upgrade)</t>
        </is>
      </c>
      <c r="E21" s="21" t="n">
        <v>5</v>
      </c>
      <c r="F21" s="21" t="n">
        <v>8</v>
      </c>
      <c r="G21" s="10" t="n">
        <v>2</v>
      </c>
    </row>
    <row r="22">
      <c r="A22" s="12" t="inlineStr">
        <is>
          <t>Pro</t>
        </is>
      </c>
      <c r="B22" s="13" t="n">
        <v>15</v>
      </c>
      <c r="C22" s="23" t="n">
        <v>1000</v>
      </c>
      <c r="D22" s="12" t="inlineStr">
        <is>
          <t>n/a (must upgrade)</t>
        </is>
      </c>
      <c r="E22" s="23" t="n">
        <v>48</v>
      </c>
      <c r="F22" s="23" t="n">
        <v>79</v>
      </c>
      <c r="G22" s="12" t="n">
        <v>2</v>
      </c>
    </row>
    <row r="23">
      <c r="A23" s="10" t="inlineStr">
        <is>
          <t>Ultra</t>
        </is>
      </c>
      <c r="B23" s="11" t="n">
        <v>50</v>
      </c>
      <c r="C23" s="21" t="n">
        <v>5000</v>
      </c>
      <c r="D23" s="10" t="inlineStr">
        <is>
          <t>n/a (must upgrade)</t>
        </is>
      </c>
      <c r="E23" s="21" t="n">
        <v>238</v>
      </c>
      <c r="F23" s="21" t="n">
        <v>397</v>
      </c>
      <c r="G23" s="10" t="n">
        <v>2</v>
      </c>
    </row>
    <row r="24">
      <c r="A24" s="12" t="inlineStr">
        <is>
          <t>Mega</t>
        </is>
      </c>
      <c r="B24" s="13" t="n">
        <v>100</v>
      </c>
      <c r="C24" s="23" t="n">
        <v>10000</v>
      </c>
      <c r="D24" s="12" t="inlineStr">
        <is>
          <t>n/a (must upgrade)</t>
        </is>
      </c>
      <c r="E24" s="23" t="n">
        <v>476</v>
      </c>
      <c r="F24" s="23" t="n">
        <v>794</v>
      </c>
      <c r="G24" s="12" t="n">
        <v>2</v>
      </c>
    </row>
    <row r="25">
      <c r="A25" s="10" t="inlineStr">
        <is>
          <t>Custom</t>
        </is>
      </c>
      <c r="B25" s="11" t="n">
        <v>250</v>
      </c>
      <c r="C25" s="21" t="n">
        <v>50000</v>
      </c>
      <c r="D25" s="10" t="inlineStr">
        <is>
          <t>$0.01/req</t>
        </is>
      </c>
      <c r="E25" s="21" t="n">
        <v>2381</v>
      </c>
      <c r="F25" s="21" t="n">
        <v>3968</v>
      </c>
      <c r="G25" s="10" t="n">
        <v>2</v>
      </c>
    </row>
    <row r="26"/>
    <row r="27">
      <c r="A27" s="28" t="inlineStr">
        <is>
          <t>RapidAPI — Realtor — PLAN TIERS</t>
        </is>
      </c>
    </row>
    <row r="28">
      <c r="A28" s="9" t="inlineStr">
        <is>
          <t>Plan</t>
        </is>
      </c>
      <c r="B28" s="9" t="inlineStr">
        <is>
          <t>Monthly Fee</t>
        </is>
      </c>
      <c r="C28" s="9" t="inlineStr">
        <is>
          <t>Included Quota</t>
        </is>
      </c>
      <c r="D28" s="9" t="inlineStr">
        <is>
          <t>Overage Rate</t>
        </is>
      </c>
      <c r="E28" s="9" t="inlineStr">
        <is>
          <t>Max Active Subs</t>
        </is>
      </c>
      <c r="F28" s="9" t="inlineStr">
        <is>
          <t>Max Paid Subs (60%)</t>
        </is>
      </c>
      <c r="G28" s="9" t="inlineStr">
        <is>
          <t>Calls/Search</t>
        </is>
      </c>
    </row>
    <row r="29">
      <c r="A29" s="10" t="inlineStr">
        <is>
          <t>Basic</t>
        </is>
      </c>
      <c r="B29" s="11" t="n">
        <v>0</v>
      </c>
      <c r="C29" s="21" t="n">
        <v>100</v>
      </c>
      <c r="D29" s="10" t="inlineStr">
        <is>
          <t>n/a (must upgrade)</t>
        </is>
      </c>
      <c r="E29" s="21" t="n">
        <v>5</v>
      </c>
      <c r="F29" s="21" t="n">
        <v>8</v>
      </c>
      <c r="G29" s="10" t="n">
        <v>2</v>
      </c>
    </row>
    <row r="30">
      <c r="A30" s="12" t="inlineStr">
        <is>
          <t>Pro</t>
        </is>
      </c>
      <c r="B30" s="13" t="n">
        <v>15</v>
      </c>
      <c r="C30" s="23" t="n">
        <v>1000</v>
      </c>
      <c r="D30" s="12" t="inlineStr">
        <is>
          <t>n/a (must upgrade)</t>
        </is>
      </c>
      <c r="E30" s="23" t="n">
        <v>48</v>
      </c>
      <c r="F30" s="23" t="n">
        <v>79</v>
      </c>
      <c r="G30" s="12" t="n">
        <v>2</v>
      </c>
    </row>
    <row r="31">
      <c r="A31" s="10" t="inlineStr">
        <is>
          <t>Ultra</t>
        </is>
      </c>
      <c r="B31" s="11" t="n">
        <v>50</v>
      </c>
      <c r="C31" s="21" t="n">
        <v>5000</v>
      </c>
      <c r="D31" s="10" t="inlineStr">
        <is>
          <t>n/a (must upgrade)</t>
        </is>
      </c>
      <c r="E31" s="21" t="n">
        <v>238</v>
      </c>
      <c r="F31" s="21" t="n">
        <v>397</v>
      </c>
      <c r="G31" s="10" t="n">
        <v>2</v>
      </c>
    </row>
    <row r="32">
      <c r="A32" s="12" t="inlineStr">
        <is>
          <t>Mega</t>
        </is>
      </c>
      <c r="B32" s="13" t="n">
        <v>100</v>
      </c>
      <c r="C32" s="23" t="n">
        <v>10000</v>
      </c>
      <c r="D32" s="12" t="inlineStr">
        <is>
          <t>n/a (must upgrade)</t>
        </is>
      </c>
      <c r="E32" s="23" t="n">
        <v>476</v>
      </c>
      <c r="F32" s="23" t="n">
        <v>794</v>
      </c>
      <c r="G32" s="12" t="n">
        <v>2</v>
      </c>
    </row>
    <row r="33">
      <c r="A33" s="10" t="inlineStr">
        <is>
          <t>Custom</t>
        </is>
      </c>
      <c r="B33" s="11" t="n">
        <v>250</v>
      </c>
      <c r="C33" s="21" t="n">
        <v>50000</v>
      </c>
      <c r="D33" s="10" t="inlineStr">
        <is>
          <t>$0.01/req</t>
        </is>
      </c>
      <c r="E33" s="21" t="n">
        <v>2381</v>
      </c>
      <c r="F33" s="21" t="n">
        <v>3968</v>
      </c>
      <c r="G33" s="10" t="n">
        <v>2</v>
      </c>
    </row>
    <row r="34"/>
    <row r="35">
      <c r="A35" s="8" t="inlineStr">
        <is>
          <t>INFRASTRUCTURE SCALING TIERS</t>
        </is>
      </c>
    </row>
    <row r="36">
      <c r="A36" s="9" t="inlineStr">
        <is>
          <t>Service</t>
        </is>
      </c>
      <c r="B36" s="9" t="inlineStr">
        <is>
          <t>Plan</t>
        </is>
      </c>
      <c r="C36" s="9" t="inlineStr">
        <is>
          <t>Monthly Cost</t>
        </is>
      </c>
      <c r="D36" s="9" t="inlineStr">
        <is>
          <t>Max Paid Subs</t>
        </is>
      </c>
    </row>
    <row r="37">
      <c r="A37" s="10" t="inlineStr">
        <is>
          <t>Railway</t>
        </is>
      </c>
      <c r="B37" s="10" t="inlineStr">
        <is>
          <t>Pro</t>
        </is>
      </c>
      <c r="C37" s="11" t="n">
        <v>20</v>
      </c>
      <c r="D37" s="21" t="n">
        <v>200</v>
      </c>
    </row>
    <row r="38">
      <c r="A38" s="12" t="inlineStr">
        <is>
          <t>Railway</t>
        </is>
      </c>
      <c r="B38" s="12" t="inlineStr">
        <is>
          <t>Pro (scaled)</t>
        </is>
      </c>
      <c r="C38" s="13" t="n">
        <v>50</v>
      </c>
      <c r="D38" s="23" t="n">
        <v>500</v>
      </c>
    </row>
    <row r="39">
      <c r="A39" s="10" t="inlineStr">
        <is>
          <t>Railway</t>
        </is>
      </c>
      <c r="B39" s="10" t="inlineStr">
        <is>
          <t>Pro (heavy)</t>
        </is>
      </c>
      <c r="C39" s="11" t="n">
        <v>100</v>
      </c>
      <c r="D39" s="21" t="n">
        <v>1500</v>
      </c>
    </row>
    <row r="40">
      <c r="A40" s="12" t="inlineStr">
        <is>
          <t>Railway</t>
        </is>
      </c>
      <c r="B40" s="12" t="inlineStr">
        <is>
          <t>Pro (high)</t>
        </is>
      </c>
      <c r="C40" s="13" t="n">
        <v>200</v>
      </c>
      <c r="D40" s="23" t="n">
        <v>5000</v>
      </c>
    </row>
    <row r="41">
      <c r="A41" s="10" t="inlineStr">
        <is>
          <t>Vercel</t>
        </is>
      </c>
      <c r="B41" s="10" t="inlineStr">
        <is>
          <t>Pro</t>
        </is>
      </c>
      <c r="C41" s="11" t="n">
        <v>20</v>
      </c>
      <c r="D41" s="21" t="n">
        <v>500</v>
      </c>
    </row>
    <row r="42">
      <c r="A42" s="12" t="inlineStr">
        <is>
          <t>Vercel</t>
        </is>
      </c>
      <c r="B42" s="12" t="inlineStr">
        <is>
          <t>Pro (scaled)</t>
        </is>
      </c>
      <c r="C42" s="13" t="n">
        <v>40</v>
      </c>
      <c r="D42" s="23" t="n">
        <v>2000</v>
      </c>
    </row>
    <row r="43">
      <c r="A43" s="10" t="inlineStr">
        <is>
          <t>Vercel</t>
        </is>
      </c>
      <c r="B43" s="10" t="inlineStr">
        <is>
          <t>Enterprise</t>
        </is>
      </c>
      <c r="C43" s="11" t="n">
        <v>100</v>
      </c>
      <c r="D43" s="21" t="n">
        <v>10000</v>
      </c>
    </row>
    <row r="44">
      <c r="A44" s="10" t="inlineStr">
        <is>
          <t>Expo (EAS)</t>
        </is>
      </c>
      <c r="B44" s="10" t="inlineStr">
        <is>
          <t>Starter</t>
        </is>
      </c>
      <c r="C44" s="11" t="n">
        <v>19</v>
      </c>
      <c r="D44" s="21" t="n">
        <v>150</v>
      </c>
    </row>
    <row r="45">
      <c r="A45" s="12" t="inlineStr">
        <is>
          <t>Expo (EAS)</t>
        </is>
      </c>
      <c r="B45" s="12" t="inlineStr">
        <is>
          <t>Production</t>
        </is>
      </c>
      <c r="C45" s="13" t="n">
        <v>199</v>
      </c>
      <c r="D45" s="23" t="n">
        <v>2500</v>
      </c>
    </row>
    <row r="46">
      <c r="A46" s="10" t="inlineStr">
        <is>
          <t>Expo (EAS)</t>
        </is>
      </c>
      <c r="B46" s="10" t="inlineStr">
        <is>
          <t>Custom</t>
        </is>
      </c>
      <c r="C46" s="11" t="n">
        <v>499</v>
      </c>
      <c r="D46" s="21" t="n">
        <v>10000</v>
      </c>
    </row>
    <row r="47"/>
    <row r="48">
      <c r="A48" s="8" t="inlineStr">
        <is>
          <t>PLAN UPGRADE TRIGGER POINTS</t>
        </is>
      </c>
    </row>
    <row r="49">
      <c r="A49" s="9" t="inlineStr">
        <is>
          <t>Provider</t>
        </is>
      </c>
      <c r="B49" s="9" t="inlineStr">
        <is>
          <t>Current Plan</t>
        </is>
      </c>
      <c r="C49" s="9" t="inlineStr">
        <is>
          <t>Upgrade To</t>
        </is>
      </c>
      <c r="D49" s="9" t="inlineStr">
        <is>
          <t>Trigger (Paid Subs)</t>
        </is>
      </c>
      <c r="E49" s="9" t="inlineStr">
        <is>
          <t>Cost Change</t>
        </is>
      </c>
    </row>
    <row r="50">
      <c r="A50" s="10" t="inlineStr">
        <is>
          <t>Zillow / AXESSO</t>
        </is>
      </c>
      <c r="B50" s="10" t="inlineStr">
        <is>
          <t>Free Trial</t>
        </is>
      </c>
      <c r="C50" s="10" t="inlineStr">
        <is>
          <t>Starter</t>
        </is>
      </c>
      <c r="D50" s="10" t="inlineStr">
        <is>
          <t>~1 subs</t>
        </is>
      </c>
      <c r="E50" s="29" t="n">
        <v>16</v>
      </c>
    </row>
    <row r="51">
      <c r="A51" s="10" t="inlineStr">
        <is>
          <t>RapidAPI — Redfin</t>
        </is>
      </c>
      <c r="B51" s="10" t="inlineStr">
        <is>
          <t>Basic</t>
        </is>
      </c>
      <c r="C51" s="10" t="inlineStr">
        <is>
          <t>Pro</t>
        </is>
      </c>
      <c r="D51" s="10" t="inlineStr">
        <is>
          <t>~10 subs</t>
        </is>
      </c>
      <c r="E51" s="29" t="n">
        <v>0</v>
      </c>
    </row>
    <row r="52">
      <c r="A52" s="10" t="inlineStr">
        <is>
          <t>RapidAPI — Realtor</t>
        </is>
      </c>
      <c r="B52" s="10" t="inlineStr">
        <is>
          <t>Basic</t>
        </is>
      </c>
      <c r="C52" s="10" t="inlineStr">
        <is>
          <t>Pro</t>
        </is>
      </c>
      <c r="D52" s="10" t="inlineStr">
        <is>
          <t>~10 subs</t>
        </is>
      </c>
      <c r="E52" s="29" t="n">
        <v>0</v>
      </c>
    </row>
    <row r="53">
      <c r="A53" s="10" t="inlineStr">
        <is>
          <t>RentCast</t>
        </is>
      </c>
      <c r="B53" s="10" t="inlineStr">
        <is>
          <t>Developer</t>
        </is>
      </c>
      <c r="C53" s="10" t="inlineStr">
        <is>
          <t>Foundation</t>
        </is>
      </c>
      <c r="D53" s="10" t="inlineStr">
        <is>
          <t>~25 subs</t>
        </is>
      </c>
      <c r="E53" s="29" t="n">
        <v>0</v>
      </c>
    </row>
    <row r="54">
      <c r="A54" s="10" t="inlineStr">
        <is>
          <t>RapidAPI — Redfin</t>
        </is>
      </c>
      <c r="B54" s="10" t="inlineStr">
        <is>
          <t>Pro</t>
        </is>
      </c>
      <c r="C54" s="10" t="inlineStr">
        <is>
          <t>Ultra</t>
        </is>
      </c>
      <c r="D54" s="10" t="inlineStr">
        <is>
          <t>~100 subs</t>
        </is>
      </c>
      <c r="E54" s="29" t="n">
        <v>0</v>
      </c>
    </row>
    <row r="55">
      <c r="A55" s="10" t="inlineStr">
        <is>
          <t>RapidAPI — Realtor</t>
        </is>
      </c>
      <c r="B55" s="10" t="inlineStr">
        <is>
          <t>Pro</t>
        </is>
      </c>
      <c r="C55" s="10" t="inlineStr">
        <is>
          <t>Ultra</t>
        </is>
      </c>
      <c r="D55" s="10" t="inlineStr">
        <is>
          <t>~100 subs</t>
        </is>
      </c>
      <c r="E55" s="29" t="n">
        <v>0</v>
      </c>
    </row>
    <row r="56">
      <c r="A56" s="10" t="inlineStr">
        <is>
          <t>RentCast</t>
        </is>
      </c>
      <c r="B56" s="10" t="inlineStr">
        <is>
          <t>Foundation</t>
        </is>
      </c>
      <c r="C56" s="10" t="inlineStr">
        <is>
          <t>Growth</t>
        </is>
      </c>
      <c r="D56" s="10" t="inlineStr">
        <is>
          <t>~150 subs</t>
        </is>
      </c>
      <c r="E56" s="29" t="n">
        <v>0</v>
      </c>
    </row>
    <row r="57">
      <c r="A57" s="10" t="inlineStr">
        <is>
          <t>Expo (EAS)</t>
        </is>
      </c>
      <c r="B57" s="10" t="inlineStr">
        <is>
          <t>Starter</t>
        </is>
      </c>
      <c r="C57" s="10" t="inlineStr">
        <is>
          <t>Production</t>
        </is>
      </c>
      <c r="D57" s="10" t="inlineStr">
        <is>
          <t>~200 subs</t>
        </is>
      </c>
      <c r="E57" s="29" t="n">
        <v>0</v>
      </c>
    </row>
    <row r="58">
      <c r="A58" s="10" t="inlineStr">
        <is>
          <t>Railway</t>
        </is>
      </c>
      <c r="B58" s="10" t="inlineStr">
        <is>
          <t>Pro</t>
        </is>
      </c>
      <c r="C58" s="10" t="inlineStr">
        <is>
          <t>Pro (scaled)</t>
        </is>
      </c>
      <c r="D58" s="10" t="inlineStr">
        <is>
          <t>~250 subs</t>
        </is>
      </c>
      <c r="E58" s="29" t="n">
        <v>0</v>
      </c>
    </row>
    <row r="59">
      <c r="A59" s="10" t="inlineStr">
        <is>
          <t>RapidAPI — Redfin</t>
        </is>
      </c>
      <c r="B59" s="10" t="inlineStr">
        <is>
          <t>Ultra</t>
        </is>
      </c>
      <c r="C59" s="10" t="inlineStr">
        <is>
          <t>Mega</t>
        </is>
      </c>
      <c r="D59" s="10" t="inlineStr">
        <is>
          <t>~400 subs</t>
        </is>
      </c>
      <c r="E59" s="29" t="n">
        <v>0</v>
      </c>
    </row>
    <row r="60">
      <c r="A60" s="10" t="inlineStr">
        <is>
          <t>RapidAPI — Realtor</t>
        </is>
      </c>
      <c r="B60" s="10" t="inlineStr">
        <is>
          <t>Ultra</t>
        </is>
      </c>
      <c r="C60" s="10" t="inlineStr">
        <is>
          <t>Mega</t>
        </is>
      </c>
      <c r="D60" s="10" t="inlineStr">
        <is>
          <t>~400 subs</t>
        </is>
      </c>
      <c r="E60" s="29" t="n">
        <v>0</v>
      </c>
    </row>
    <row r="61">
      <c r="A61" s="10" t="inlineStr">
        <is>
          <t>RentCast</t>
        </is>
      </c>
      <c r="B61" s="10" t="inlineStr">
        <is>
          <t>Growth</t>
        </is>
      </c>
      <c r="C61" s="10" t="inlineStr">
        <is>
          <t>Scale</t>
        </is>
      </c>
      <c r="D61" s="10" t="inlineStr">
        <is>
          <t>~750 subs</t>
        </is>
      </c>
      <c r="E61" s="29" t="n">
        <v>0</v>
      </c>
    </row>
    <row r="62">
      <c r="A62" s="10" t="inlineStr">
        <is>
          <t>Railway</t>
        </is>
      </c>
      <c r="B62" s="10" t="inlineStr">
        <is>
          <t>Pro (scaled)</t>
        </is>
      </c>
      <c r="C62" s="10" t="inlineStr">
        <is>
          <t>Pro (heavy)</t>
        </is>
      </c>
      <c r="D62" s="10" t="inlineStr">
        <is>
          <t>~750 subs</t>
        </is>
      </c>
      <c r="E62" s="29" t="n">
        <v>0</v>
      </c>
    </row>
    <row r="63">
      <c r="A63" s="10" t="inlineStr">
        <is>
          <t>Vercel</t>
        </is>
      </c>
      <c r="B63" s="10" t="inlineStr">
        <is>
          <t>Pro</t>
        </is>
      </c>
      <c r="C63" s="10" t="inlineStr">
        <is>
          <t>Pro (scaled)</t>
        </is>
      </c>
      <c r="D63" s="10" t="inlineStr">
        <is>
          <t>~750 subs</t>
        </is>
      </c>
      <c r="E63" s="29" t="n">
        <v>0</v>
      </c>
    </row>
    <row r="64">
      <c r="A64" s="10" t="inlineStr">
        <is>
          <t>RapidAPI — Redfin</t>
        </is>
      </c>
      <c r="B64" s="10" t="inlineStr">
        <is>
          <t>Mega</t>
        </is>
      </c>
      <c r="C64" s="10" t="inlineStr">
        <is>
          <t>Custom</t>
        </is>
      </c>
      <c r="D64" s="10" t="inlineStr">
        <is>
          <t>~1000 subs</t>
        </is>
      </c>
      <c r="E64" s="29" t="n">
        <v>0</v>
      </c>
    </row>
    <row r="65">
      <c r="A65" s="10" t="inlineStr">
        <is>
          <t>RapidAPI — Realtor</t>
        </is>
      </c>
      <c r="B65" s="10" t="inlineStr">
        <is>
          <t>Mega</t>
        </is>
      </c>
      <c r="C65" s="10" t="inlineStr">
        <is>
          <t>Custom</t>
        </is>
      </c>
      <c r="D65" s="10" t="inlineStr">
        <is>
          <t>~1000 subs</t>
        </is>
      </c>
      <c r="E65" s="29" t="n">
        <v>0</v>
      </c>
    </row>
    <row r="66">
      <c r="A66" s="10" t="inlineStr">
        <is>
          <t>Zillow / AXESSO</t>
        </is>
      </c>
      <c r="B66" s="10" t="inlineStr">
        <is>
          <t>Starter</t>
        </is>
      </c>
      <c r="C66" s="10" t="inlineStr">
        <is>
          <t>Production</t>
        </is>
      </c>
      <c r="D66" s="10" t="inlineStr">
        <is>
          <t>~1500 subs</t>
        </is>
      </c>
      <c r="E66" s="29" t="n">
        <v>0</v>
      </c>
    </row>
    <row r="67">
      <c r="A67" s="10" t="inlineStr">
        <is>
          <t>Railway</t>
        </is>
      </c>
      <c r="B67" s="10" t="inlineStr">
        <is>
          <t>Pro (heavy)</t>
        </is>
      </c>
      <c r="C67" s="10" t="inlineStr">
        <is>
          <t>Pro (high)</t>
        </is>
      </c>
      <c r="D67" s="10" t="inlineStr">
        <is>
          <t>~2000 subs</t>
        </is>
      </c>
      <c r="E67" s="29" t="n">
        <v>0</v>
      </c>
    </row>
    <row r="68">
      <c r="A68" s="10" t="inlineStr">
        <is>
          <t>Vercel</t>
        </is>
      </c>
      <c r="B68" s="10" t="inlineStr">
        <is>
          <t>Pro (scaled)</t>
        </is>
      </c>
      <c r="C68" s="10" t="inlineStr">
        <is>
          <t>Enterprise</t>
        </is>
      </c>
      <c r="D68" s="10" t="inlineStr">
        <is>
          <t>~3000 subs</t>
        </is>
      </c>
      <c r="E68" s="29" t="n">
        <v>0</v>
      </c>
    </row>
    <row r="69">
      <c r="A69" s="10" t="inlineStr">
        <is>
          <t>Expo (EAS)</t>
        </is>
      </c>
      <c r="B69" s="10" t="inlineStr">
        <is>
          <t>Production</t>
        </is>
      </c>
      <c r="C69" s="10" t="inlineStr">
        <is>
          <t>Custom</t>
        </is>
      </c>
      <c r="D69" s="10" t="inlineStr">
        <is>
          <t>~3000 subs</t>
        </is>
      </c>
      <c r="E69" s="29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9" customWidth="1" min="3" max="3"/>
    <col width="21" customWidth="1" min="4" max="4"/>
    <col width="23" customWidth="1" min="5" max="5"/>
    <col width="12" customWidth="1" min="6" max="6"/>
    <col width="12" customWidth="1" min="7" max="7"/>
  </cols>
  <sheetData>
    <row r="1">
      <c r="A1" s="19" t="inlineStr">
        <is>
          <t>Breakeven Sensitivity Analysis</t>
        </is>
      </c>
    </row>
    <row r="2"/>
    <row r="3">
      <c r="A3" s="8" t="inlineStr">
        <is>
          <t>BREAKEVEN BY CHANNEL MIX</t>
        </is>
      </c>
    </row>
    <row r="4">
      <c r="A4" s="9" t="inlineStr">
        <is>
          <t>Scenario</t>
        </is>
      </c>
      <c r="B4" s="9" t="inlineStr">
        <is>
          <t>Blended Net ARPU</t>
        </is>
      </c>
      <c r="C4" s="9" t="inlineStr">
        <is>
          <t>Base Fixed Costs</t>
        </is>
      </c>
      <c r="D4" s="9" t="inlineStr">
        <is>
          <t>Breakeven Subs</t>
        </is>
      </c>
    </row>
    <row r="5">
      <c r="A5" s="10" t="inlineStr">
        <is>
          <t>100% Web Monthly (best)</t>
        </is>
      </c>
      <c r="B5" s="11" t="n">
        <v>38.53</v>
      </c>
      <c r="C5" s="11" t="n">
        <v>70.83</v>
      </c>
      <c r="D5" s="10" t="n">
        <v>2</v>
      </c>
    </row>
    <row r="6">
      <c r="A6" s="12" t="inlineStr">
        <is>
          <t>100% Web Annual</t>
        </is>
      </c>
      <c r="B6" s="13" t="n">
        <v>28.3</v>
      </c>
      <c r="C6" s="13" t="n">
        <v>70.83</v>
      </c>
      <c r="D6" s="12" t="n">
        <v>3</v>
      </c>
    </row>
    <row r="7">
      <c r="A7" s="10" t="inlineStr">
        <is>
          <t>Blended (base case)</t>
        </is>
      </c>
      <c r="B7" s="11" t="n">
        <v>34.12</v>
      </c>
      <c r="C7" s="11" t="n">
        <v>70.83</v>
      </c>
      <c r="D7" s="10" t="n">
        <v>3</v>
      </c>
    </row>
    <row r="8">
      <c r="A8" s="12" t="inlineStr">
        <is>
          <t>100% iOS Monthly</t>
        </is>
      </c>
      <c r="B8" s="13" t="n">
        <v>33.99</v>
      </c>
      <c r="C8" s="13" t="n">
        <v>70.83</v>
      </c>
      <c r="D8" s="12" t="n">
        <v>3</v>
      </c>
    </row>
    <row r="9">
      <c r="A9" s="10" t="inlineStr">
        <is>
          <t>100% iOS Annual (worst)</t>
        </is>
      </c>
      <c r="B9" s="11" t="n">
        <v>24.79</v>
      </c>
      <c r="C9" s="11" t="n">
        <v>70.83</v>
      </c>
      <c r="D9" s="10" t="n">
        <v>3</v>
      </c>
    </row>
    <row r="10">
      <c r="A10" s="12" t="inlineStr">
        <is>
          <t>Heavy mobile (40%)</t>
        </is>
      </c>
      <c r="B10" s="13" t="n">
        <v>31.95</v>
      </c>
      <c r="C10" s="13" t="n">
        <v>70.83</v>
      </c>
      <c r="D10" s="12" t="n">
        <v>3</v>
      </c>
    </row>
    <row r="11">
      <c r="A11" s="10" t="inlineStr">
        <is>
          <t>Heavy annual (70%)</t>
        </is>
      </c>
      <c r="B11" s="11" t="n">
        <v>30.24</v>
      </c>
      <c r="C11" s="11" t="n">
        <v>70.83</v>
      </c>
      <c r="D11" s="10" t="n">
        <v>3</v>
      </c>
    </row>
    <row r="12"/>
    <row r="13">
      <c r="A13" s="8" t="inlineStr">
        <is>
          <t>BREAKEVEN BY PRICE POINT (Web Monthly Only)</t>
        </is>
      </c>
    </row>
    <row r="14">
      <c r="A14" s="9" t="inlineStr">
        <is>
          <t>Monthly Price</t>
        </is>
      </c>
      <c r="B14" s="9" t="inlineStr">
        <is>
          <t>Stripe Net</t>
        </is>
      </c>
      <c r="C14" s="9" t="inlineStr">
        <is>
          <t>Breakeven Subs</t>
        </is>
      </c>
      <c r="D14" s="9" t="inlineStr">
        <is>
          <t>Monthly Rev @ 50</t>
        </is>
      </c>
      <c r="E14" s="9" t="inlineStr">
        <is>
          <t>Annual Rev @ 50</t>
        </is>
      </c>
    </row>
    <row r="15">
      <c r="A15" s="11" t="n">
        <v>19.99</v>
      </c>
      <c r="B15" s="11" t="n">
        <v>19.11029</v>
      </c>
      <c r="C15" s="10" t="n">
        <v>4</v>
      </c>
      <c r="D15" s="11" t="n">
        <v>955.5144999999998</v>
      </c>
      <c r="E15" s="11" t="n">
        <v>11466.174</v>
      </c>
    </row>
    <row r="16">
      <c r="A16" s="13" t="n">
        <v>24.99</v>
      </c>
      <c r="B16" s="13" t="n">
        <v>23.96529</v>
      </c>
      <c r="C16" s="12" t="n">
        <v>3</v>
      </c>
      <c r="D16" s="13" t="n">
        <v>1198.2645</v>
      </c>
      <c r="E16" s="13" t="n">
        <v>14379.174</v>
      </c>
    </row>
    <row r="17">
      <c r="A17" s="11" t="n">
        <v>29.99</v>
      </c>
      <c r="B17" s="11" t="n">
        <v>28.82029</v>
      </c>
      <c r="C17" s="10" t="n">
        <v>3</v>
      </c>
      <c r="D17" s="11" t="n">
        <v>1441.0145</v>
      </c>
      <c r="E17" s="11" t="n">
        <v>17292.174</v>
      </c>
    </row>
    <row r="18">
      <c r="A18" s="13" t="n">
        <v>34.99</v>
      </c>
      <c r="B18" s="13" t="n">
        <v>33.67529</v>
      </c>
      <c r="C18" s="12" t="n">
        <v>3</v>
      </c>
      <c r="D18" s="13" t="n">
        <v>1683.7645</v>
      </c>
      <c r="E18" s="13" t="n">
        <v>20205.174</v>
      </c>
    </row>
    <row r="19">
      <c r="A19" s="30" t="n">
        <v>39.99</v>
      </c>
      <c r="B19" s="30" t="n">
        <v>38.53029</v>
      </c>
      <c r="C19" s="31" t="n">
        <v>2</v>
      </c>
      <c r="D19" s="30" t="n">
        <v>1926.5145</v>
      </c>
      <c r="E19" s="30" t="n">
        <v>23118.174</v>
      </c>
    </row>
    <row r="20">
      <c r="A20" s="13" t="n">
        <v>44.99</v>
      </c>
      <c r="B20" s="13" t="n">
        <v>43.38529</v>
      </c>
      <c r="C20" s="12" t="n">
        <v>2</v>
      </c>
      <c r="D20" s="13" t="n">
        <v>2169.2645</v>
      </c>
      <c r="E20" s="13" t="n">
        <v>26031.174</v>
      </c>
    </row>
    <row r="21">
      <c r="A21" s="11" t="n">
        <v>49.99</v>
      </c>
      <c r="B21" s="11" t="n">
        <v>48.24029</v>
      </c>
      <c r="C21" s="10" t="n">
        <v>2</v>
      </c>
      <c r="D21" s="11" t="n">
        <v>2412.0145</v>
      </c>
      <c r="E21" s="11" t="n">
        <v>28944.174</v>
      </c>
    </row>
    <row r="22">
      <c r="A22" s="13" t="n">
        <v>59.99</v>
      </c>
      <c r="B22" s="13" t="n">
        <v>57.95029</v>
      </c>
      <c r="C22" s="12" t="n">
        <v>2</v>
      </c>
      <c r="D22" s="13" t="n">
        <v>2897.5145</v>
      </c>
      <c r="E22" s="13" t="n">
        <v>34770.174</v>
      </c>
    </row>
    <row r="23">
      <c r="A23" s="11" t="n">
        <v>79.98999999999999</v>
      </c>
      <c r="B23" s="11" t="n">
        <v>77.37029</v>
      </c>
      <c r="C23" s="10" t="n">
        <v>1</v>
      </c>
      <c r="D23" s="11" t="n">
        <v>3868.5145</v>
      </c>
      <c r="E23" s="11" t="n">
        <v>46422.174</v>
      </c>
    </row>
    <row r="24"/>
    <row r="25">
      <c r="A25" s="8" t="inlineStr">
        <is>
          <t>SUBSCRIBER RETENTION IMPACT (Starting: 50 subs)</t>
        </is>
      </c>
    </row>
    <row r="26">
      <c r="A26" s="9" t="inlineStr">
        <is>
          <t>Monthly Churn</t>
        </is>
      </c>
      <c r="B26" s="9" t="inlineStr">
        <is>
          <t>Avg Lifetime (mo)</t>
        </is>
      </c>
      <c r="C26" s="9" t="inlineStr">
        <is>
          <t>LTV (Net)</t>
        </is>
      </c>
      <c r="D26" s="9" t="inlineStr">
        <is>
          <t>12-Mo Retained</t>
        </is>
      </c>
      <c r="E26" s="9" t="inlineStr">
        <is>
          <t>12-Mo Cumulative Rev</t>
        </is>
      </c>
    </row>
    <row r="27">
      <c r="A27" s="15" t="n">
        <v>0.03</v>
      </c>
      <c r="B27" s="32" t="n">
        <v>33.3</v>
      </c>
      <c r="C27" s="11" t="n">
        <v>1137.33</v>
      </c>
      <c r="D27" s="21" t="n">
        <v>35</v>
      </c>
      <c r="E27" s="11" t="n">
        <v>17410</v>
      </c>
    </row>
    <row r="28">
      <c r="A28" s="14" t="n">
        <v>0.05</v>
      </c>
      <c r="B28" s="33" t="n">
        <v>20</v>
      </c>
      <c r="C28" s="13" t="n">
        <v>682.4</v>
      </c>
      <c r="D28" s="23" t="n">
        <v>27</v>
      </c>
      <c r="E28" s="13" t="n">
        <v>15683</v>
      </c>
    </row>
    <row r="29">
      <c r="A29" s="15" t="n">
        <v>0.07000000000000001</v>
      </c>
      <c r="B29" s="32" t="n">
        <v>14.3</v>
      </c>
      <c r="C29" s="11" t="n">
        <v>487.43</v>
      </c>
      <c r="D29" s="21" t="n">
        <v>21</v>
      </c>
      <c r="E29" s="11" t="n">
        <v>14170</v>
      </c>
    </row>
    <row r="30">
      <c r="A30" s="14" t="n">
        <v>0.1</v>
      </c>
      <c r="B30" s="33" t="n">
        <v>10</v>
      </c>
      <c r="C30" s="13" t="n">
        <v>341.2</v>
      </c>
      <c r="D30" s="23" t="n">
        <v>14</v>
      </c>
      <c r="E30" s="13" t="n">
        <v>12242</v>
      </c>
    </row>
    <row r="31">
      <c r="A31" s="15" t="n">
        <v>0.12</v>
      </c>
      <c r="B31" s="32" t="n">
        <v>8.300000000000001</v>
      </c>
      <c r="C31" s="11" t="n">
        <v>284.33</v>
      </c>
      <c r="D31" s="21" t="n">
        <v>11</v>
      </c>
      <c r="E31" s="11" t="n">
        <v>11151</v>
      </c>
    </row>
    <row r="32">
      <c r="A32" s="14" t="n">
        <v>0.15</v>
      </c>
      <c r="B32" s="33" t="n">
        <v>6.7</v>
      </c>
      <c r="C32" s="13" t="n">
        <v>227.47</v>
      </c>
      <c r="D32" s="23" t="n">
        <v>7</v>
      </c>
      <c r="E32" s="13" t="n">
        <v>9756</v>
      </c>
    </row>
    <row r="33">
      <c r="A33" s="15" t="n">
        <v>0.2</v>
      </c>
      <c r="B33" s="32" t="n">
        <v>5</v>
      </c>
      <c r="C33" s="11" t="n">
        <v>170.6</v>
      </c>
      <c r="D33" s="21" t="n">
        <v>3</v>
      </c>
      <c r="E33" s="11" t="n">
        <v>7944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2C55E"/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9" t="inlineStr">
        <is>
          <t>12-Month Financial Projection (Auto-Scaled Costs)</t>
        </is>
      </c>
    </row>
    <row r="2"/>
    <row r="3">
      <c r="A3" s="8" t="inlineStr">
        <is>
          <t>GROWTH ASSUMPTIONS</t>
        </is>
      </c>
    </row>
    <row r="4">
      <c r="A4" s="20" t="inlineStr">
        <is>
          <t>Starting subscribers (Month 1)</t>
        </is>
      </c>
      <c r="B4" s="34" t="n">
        <v>5</v>
      </c>
    </row>
    <row r="5">
      <c r="A5" s="20" t="inlineStr">
        <is>
          <t>Monthly subscriber growth rate</t>
        </is>
      </c>
      <c r="B5" s="35" t="n">
        <v>0.25</v>
      </c>
    </row>
    <row r="6">
      <c r="A6" s="20" t="inlineStr">
        <is>
          <t>Monthly churn rate</t>
        </is>
      </c>
      <c r="B6" s="35" t="n">
        <v>0.07000000000000001</v>
      </c>
    </row>
    <row r="7"/>
    <row r="8">
      <c r="A8" s="9" t="inlineStr"/>
      <c r="B8" s="9" t="inlineStr">
        <is>
          <t>Mo 1</t>
        </is>
      </c>
      <c r="C8" s="9" t="inlineStr">
        <is>
          <t>Mo 2</t>
        </is>
      </c>
      <c r="D8" s="9" t="inlineStr">
        <is>
          <t>Mo 3</t>
        </is>
      </c>
      <c r="E8" s="9" t="inlineStr">
        <is>
          <t>Mo 4</t>
        </is>
      </c>
      <c r="F8" s="9" t="inlineStr">
        <is>
          <t>Mo 5</t>
        </is>
      </c>
      <c r="G8" s="9" t="inlineStr">
        <is>
          <t>Mo 6</t>
        </is>
      </c>
      <c r="H8" s="9" t="inlineStr">
        <is>
          <t>Mo 7</t>
        </is>
      </c>
      <c r="I8" s="9" t="inlineStr">
        <is>
          <t>Mo 8</t>
        </is>
      </c>
      <c r="J8" s="9" t="inlineStr">
        <is>
          <t>Mo 9</t>
        </is>
      </c>
      <c r="K8" s="9" t="inlineStr">
        <is>
          <t>Mo 10</t>
        </is>
      </c>
      <c r="L8" s="9" t="inlineStr">
        <is>
          <t>Mo 11</t>
        </is>
      </c>
      <c r="M8" s="9" t="inlineStr">
        <is>
          <t>Mo 12</t>
        </is>
      </c>
      <c r="N8" s="9" t="inlineStr">
        <is>
          <t>TOTAL</t>
        </is>
      </c>
    </row>
    <row r="9">
      <c r="A9" s="36" t="inlineStr">
        <is>
          <t>New Subscribers</t>
        </is>
      </c>
      <c r="B9" s="37" t="n">
        <v>5</v>
      </c>
      <c r="C9" s="37" t="n">
        <v>2</v>
      </c>
      <c r="D9" s="37" t="n">
        <v>2</v>
      </c>
      <c r="E9" s="37" t="n">
        <v>2</v>
      </c>
      <c r="F9" s="37" t="n">
        <v>2</v>
      </c>
      <c r="G9" s="37" t="n">
        <v>3</v>
      </c>
      <c r="H9" s="37" t="n">
        <v>3</v>
      </c>
      <c r="I9" s="37" t="n">
        <v>4</v>
      </c>
      <c r="J9" s="37" t="n">
        <v>4</v>
      </c>
      <c r="K9" s="37" t="n">
        <v>5</v>
      </c>
      <c r="L9" s="37" t="n">
        <v>6</v>
      </c>
      <c r="M9" s="37" t="n">
        <v>7</v>
      </c>
      <c r="N9" s="37" t="n">
        <v>45</v>
      </c>
    </row>
    <row r="10">
      <c r="A10" s="36" t="inlineStr">
        <is>
          <t>Churned Subscribers</t>
        </is>
      </c>
      <c r="B10" s="37" t="n">
        <v>0</v>
      </c>
      <c r="C10" s="37" t="n">
        <v>1</v>
      </c>
      <c r="D10" s="37" t="n">
        <v>1</v>
      </c>
      <c r="E10" s="37" t="n">
        <v>1</v>
      </c>
      <c r="F10" s="37" t="n">
        <v>1</v>
      </c>
      <c r="G10" s="37" t="n">
        <v>1</v>
      </c>
      <c r="H10" s="37" t="n">
        <v>1</v>
      </c>
      <c r="I10" s="37" t="n">
        <v>1</v>
      </c>
      <c r="J10" s="37" t="n">
        <v>2</v>
      </c>
      <c r="K10" s="37" t="n">
        <v>2</v>
      </c>
      <c r="L10" s="37" t="n">
        <v>2</v>
      </c>
      <c r="M10" s="37" t="n">
        <v>2</v>
      </c>
      <c r="N10" s="37" t="n">
        <v>15</v>
      </c>
    </row>
    <row r="11">
      <c r="A11" s="38" t="inlineStr">
        <is>
          <t>Ending Subscribers</t>
        </is>
      </c>
      <c r="B11" s="39" t="n">
        <v>5</v>
      </c>
      <c r="C11" s="39" t="n">
        <v>6</v>
      </c>
      <c r="D11" s="39" t="n">
        <v>7</v>
      </c>
      <c r="E11" s="39" t="n">
        <v>8</v>
      </c>
      <c r="F11" s="39" t="n">
        <v>9</v>
      </c>
      <c r="G11" s="39" t="n">
        <v>11</v>
      </c>
      <c r="H11" s="39" t="n">
        <v>13</v>
      </c>
      <c r="I11" s="39" t="n">
        <v>16</v>
      </c>
      <c r="J11" s="39" t="n">
        <v>18</v>
      </c>
      <c r="K11" s="39" t="n">
        <v>21</v>
      </c>
      <c r="L11" s="39" t="n">
        <v>25</v>
      </c>
      <c r="M11" s="39" t="n">
        <v>30</v>
      </c>
      <c r="N11" s="39" t="n">
        <v>30</v>
      </c>
    </row>
    <row r="12">
      <c r="A12" t="inlineStr"/>
    </row>
    <row r="13">
      <c r="A13" s="36" t="inlineStr">
        <is>
          <t>Gross Revenue</t>
        </is>
      </c>
      <c r="B13" s="40" t="n">
        <v>184.95</v>
      </c>
      <c r="C13" s="40" t="n">
        <v>221.94</v>
      </c>
      <c r="D13" s="40" t="n">
        <v>258.93</v>
      </c>
      <c r="E13" s="40" t="n">
        <v>295.92</v>
      </c>
      <c r="F13" s="40" t="n">
        <v>332.91</v>
      </c>
      <c r="G13" s="40" t="n">
        <v>406.89</v>
      </c>
      <c r="H13" s="40" t="n">
        <v>480.87</v>
      </c>
      <c r="I13" s="40" t="n">
        <v>591.84</v>
      </c>
      <c r="J13" s="40" t="n">
        <v>665.8200000000001</v>
      </c>
      <c r="K13" s="40" t="n">
        <v>776.79</v>
      </c>
      <c r="L13" s="40" t="n">
        <v>924.75</v>
      </c>
      <c r="M13" s="40" t="n">
        <v>1109.7</v>
      </c>
      <c r="N13" s="40" t="n">
        <v>6251.31</v>
      </c>
    </row>
    <row r="14">
      <c r="A14" s="38" t="inlineStr">
        <is>
          <t>Net Revenue</t>
        </is>
      </c>
      <c r="B14" s="41" t="n">
        <v>170.6</v>
      </c>
      <c r="C14" s="41" t="n">
        <v>204.72</v>
      </c>
      <c r="D14" s="41" t="n">
        <v>238.84</v>
      </c>
      <c r="E14" s="41" t="n">
        <v>272.96</v>
      </c>
      <c r="F14" s="41" t="n">
        <v>307.08</v>
      </c>
      <c r="G14" s="41" t="n">
        <v>375.32</v>
      </c>
      <c r="H14" s="41" t="n">
        <v>443.56</v>
      </c>
      <c r="I14" s="41" t="n">
        <v>545.92</v>
      </c>
      <c r="J14" s="41" t="n">
        <v>614.16</v>
      </c>
      <c r="K14" s="41" t="n">
        <v>716.52</v>
      </c>
      <c r="L14" s="41" t="n">
        <v>853</v>
      </c>
      <c r="M14" s="41" t="n">
        <v>1023.6</v>
      </c>
      <c r="N14" s="41" t="n">
        <v>5766.28</v>
      </c>
    </row>
    <row r="15">
      <c r="A15" t="inlineStr"/>
    </row>
    <row r="16">
      <c r="A16" s="36" t="inlineStr">
        <is>
          <t>Data API Costs</t>
        </is>
      </c>
      <c r="B16" s="40" t="n">
        <v>31.2</v>
      </c>
      <c r="C16" s="40" t="n">
        <v>39.6</v>
      </c>
      <c r="D16" s="40" t="n">
        <v>78</v>
      </c>
      <c r="E16" s="40" t="n">
        <v>78</v>
      </c>
      <c r="F16" s="40" t="n">
        <v>86.40000000000001</v>
      </c>
      <c r="G16" s="40" t="n">
        <v>94.8</v>
      </c>
      <c r="H16" s="40" t="n">
        <v>103.2</v>
      </c>
      <c r="I16" s="40" t="n">
        <v>120</v>
      </c>
      <c r="J16" s="40" t="n">
        <v>120</v>
      </c>
      <c r="K16" s="40" t="n">
        <v>120</v>
      </c>
      <c r="L16" s="40" t="n">
        <v>120</v>
      </c>
      <c r="M16" s="40" t="n">
        <v>120</v>
      </c>
      <c r="N16" s="40" t="n">
        <v>1111.2</v>
      </c>
    </row>
    <row r="17">
      <c r="A17" s="36" t="inlineStr">
        <is>
          <t>Infrastructure</t>
        </is>
      </c>
      <c r="B17" s="40" t="n">
        <v>59</v>
      </c>
      <c r="C17" s="40" t="n">
        <v>59</v>
      </c>
      <c r="D17" s="40" t="n">
        <v>59</v>
      </c>
      <c r="E17" s="40" t="n">
        <v>59</v>
      </c>
      <c r="F17" s="40" t="n">
        <v>59</v>
      </c>
      <c r="G17" s="40" t="n">
        <v>59</v>
      </c>
      <c r="H17" s="40" t="n">
        <v>59</v>
      </c>
      <c r="I17" s="40" t="n">
        <v>59</v>
      </c>
      <c r="J17" s="40" t="n">
        <v>59</v>
      </c>
      <c r="K17" s="40" t="n">
        <v>59</v>
      </c>
      <c r="L17" s="40" t="n">
        <v>59</v>
      </c>
      <c r="M17" s="40" t="n">
        <v>59</v>
      </c>
      <c r="N17" s="40" t="n">
        <v>708</v>
      </c>
    </row>
    <row r="18">
      <c r="A18" s="36" t="inlineStr">
        <is>
          <t>AI &amp; Variable</t>
        </is>
      </c>
      <c r="B18" s="40" t="n">
        <v>0.45</v>
      </c>
      <c r="C18" s="40" t="n">
        <v>0.6</v>
      </c>
      <c r="D18" s="40" t="n">
        <v>0.75</v>
      </c>
      <c r="E18" s="40" t="n">
        <v>0.75</v>
      </c>
      <c r="F18" s="40" t="n">
        <v>0.9</v>
      </c>
      <c r="G18" s="40" t="n">
        <v>1.05</v>
      </c>
      <c r="H18" s="40" t="n">
        <v>1.2</v>
      </c>
      <c r="I18" s="40" t="n">
        <v>1.5</v>
      </c>
      <c r="J18" s="40" t="n">
        <v>1.65</v>
      </c>
      <c r="K18" s="40" t="n">
        <v>1.95</v>
      </c>
      <c r="L18" s="40" t="n">
        <v>2.25</v>
      </c>
      <c r="M18" s="40" t="n">
        <v>2.7</v>
      </c>
      <c r="N18" s="40" t="n">
        <v>15.75</v>
      </c>
    </row>
    <row r="19">
      <c r="A19" s="36" t="inlineStr">
        <is>
          <t>Fixed Overhead</t>
        </is>
      </c>
      <c r="B19" s="40" t="n">
        <v>11.83</v>
      </c>
      <c r="C19" s="40" t="n">
        <v>11.83</v>
      </c>
      <c r="D19" s="40" t="n">
        <v>11.83</v>
      </c>
      <c r="E19" s="40" t="n">
        <v>11.83</v>
      </c>
      <c r="F19" s="40" t="n">
        <v>11.83</v>
      </c>
      <c r="G19" s="40" t="n">
        <v>11.83</v>
      </c>
      <c r="H19" s="40" t="n">
        <v>11.83</v>
      </c>
      <c r="I19" s="40" t="n">
        <v>11.83</v>
      </c>
      <c r="J19" s="40" t="n">
        <v>11.83</v>
      </c>
      <c r="K19" s="40" t="n">
        <v>11.83</v>
      </c>
      <c r="L19" s="40" t="n">
        <v>11.83</v>
      </c>
      <c r="M19" s="40" t="n">
        <v>11.83</v>
      </c>
      <c r="N19" s="40" t="n">
        <v>141.96</v>
      </c>
    </row>
    <row r="20">
      <c r="A20" s="38" t="inlineStr">
        <is>
          <t>Total Costs</t>
        </is>
      </c>
      <c r="B20" s="41" t="n">
        <v>102.48</v>
      </c>
      <c r="C20" s="41" t="n">
        <v>111.03</v>
      </c>
      <c r="D20" s="41" t="n">
        <v>149.58</v>
      </c>
      <c r="E20" s="41" t="n">
        <v>149.58</v>
      </c>
      <c r="F20" s="41" t="n">
        <v>158.13</v>
      </c>
      <c r="G20" s="41" t="n">
        <v>166.68</v>
      </c>
      <c r="H20" s="41" t="n">
        <v>175.23</v>
      </c>
      <c r="I20" s="41" t="n">
        <v>192.33</v>
      </c>
      <c r="J20" s="41" t="n">
        <v>192.48</v>
      </c>
      <c r="K20" s="41" t="n">
        <v>192.78</v>
      </c>
      <c r="L20" s="41" t="n">
        <v>193.08</v>
      </c>
      <c r="M20" s="41" t="n">
        <v>193.53</v>
      </c>
      <c r="N20" s="41" t="n">
        <v>1976.91</v>
      </c>
    </row>
    <row r="21">
      <c r="A21" t="inlineStr"/>
    </row>
    <row r="22">
      <c r="A22" s="38" t="inlineStr">
        <is>
          <t>Net Profit/Loss</t>
        </is>
      </c>
      <c r="B22" s="25" t="n">
        <v>68.12</v>
      </c>
      <c r="C22" s="25" t="n">
        <v>93.69</v>
      </c>
      <c r="D22" s="25" t="n">
        <v>89.26000000000001</v>
      </c>
      <c r="E22" s="25" t="n">
        <v>123.38</v>
      </c>
      <c r="F22" s="25" t="n">
        <v>148.95</v>
      </c>
      <c r="G22" s="25" t="n">
        <v>208.64</v>
      </c>
      <c r="H22" s="25" t="n">
        <v>268.33</v>
      </c>
      <c r="I22" s="25" t="n">
        <v>353.59</v>
      </c>
      <c r="J22" s="25" t="n">
        <v>421.68</v>
      </c>
      <c r="K22" s="25" t="n">
        <v>523.74</v>
      </c>
      <c r="L22" s="25" t="n">
        <v>659.92</v>
      </c>
      <c r="M22" s="25" t="n">
        <v>830.0700000000001</v>
      </c>
      <c r="N22" s="25" t="n">
        <v>3789.37</v>
      </c>
    </row>
    <row r="23">
      <c r="A23" s="38" t="inlineStr">
        <is>
          <t>Cumulative P/L</t>
        </is>
      </c>
      <c r="B23" s="42" t="n">
        <v>68.12</v>
      </c>
      <c r="C23" s="42" t="n">
        <v>161.81</v>
      </c>
      <c r="D23" s="42" t="n">
        <v>251.07</v>
      </c>
      <c r="E23" s="42" t="n">
        <v>374.45</v>
      </c>
      <c r="F23" s="42" t="n">
        <v>523.4</v>
      </c>
      <c r="G23" s="42" t="n">
        <v>732.04</v>
      </c>
      <c r="H23" s="42" t="n">
        <v>1000.37</v>
      </c>
      <c r="I23" s="42" t="n">
        <v>1353.96</v>
      </c>
      <c r="J23" s="42" t="n">
        <v>1775.64</v>
      </c>
      <c r="K23" s="42" t="n">
        <v>2299.38</v>
      </c>
      <c r="L23" s="42" t="n">
        <v>2959.3</v>
      </c>
      <c r="M23" s="42" t="n">
        <v>3789.37</v>
      </c>
      <c r="N23" s="42" t="n">
        <v>15288.91</v>
      </c>
    </row>
    <row r="24">
      <c r="A24" s="36" t="inlineStr">
        <is>
          <t>Operating Margin</t>
        </is>
      </c>
      <c r="B24" s="43" t="n">
        <v>0.3992966002344666</v>
      </c>
      <c r="C24" s="43" t="n">
        <v>0.4576494724501758</v>
      </c>
      <c r="D24" s="43" t="n">
        <v>0.3737229944732876</v>
      </c>
      <c r="E24" s="43" t="n">
        <v>0.4520076201641267</v>
      </c>
      <c r="F24" s="43" t="n">
        <v>0.485052754982415</v>
      </c>
      <c r="G24" s="43" t="n">
        <v>0.5558989662154961</v>
      </c>
      <c r="H24" s="43" t="n">
        <v>0.6049463432230138</v>
      </c>
      <c r="I24" s="43" t="n">
        <v>0.6476956330597889</v>
      </c>
      <c r="J24" s="43" t="n">
        <v>0.6865963266901134</v>
      </c>
      <c r="K24" s="43" t="n">
        <v>0.7309495896834701</v>
      </c>
      <c r="L24" s="43" t="n">
        <v>0.7736459554513482</v>
      </c>
      <c r="M24" s="43" t="n">
        <v>0.8109320046893318</v>
      </c>
      <c r="N24" s="43" t="n">
        <v>0.6571602488953017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8B5CF6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1" customWidth="1" min="4" max="4"/>
    <col width="14" customWidth="1" min="5" max="5"/>
  </cols>
  <sheetData>
    <row r="1">
      <c r="A1" s="19" t="inlineStr">
        <is>
          <t>3-Year Annual Projection (Computed)</t>
        </is>
      </c>
    </row>
    <row r="2"/>
    <row r="3">
      <c r="A3" s="9" t="inlineStr">
        <is>
          <t>Metric</t>
        </is>
      </c>
      <c r="B3" s="9" t="inlineStr">
        <is>
          <t>Year 1 (5→50)</t>
        </is>
      </c>
      <c r="C3" s="9" t="inlineStr">
        <is>
          <t>Year 2 (50→250)</t>
        </is>
      </c>
      <c r="D3" s="9" t="inlineStr">
        <is>
          <t>Year 3 (250→800)</t>
        </is>
      </c>
    </row>
    <row r="4">
      <c r="A4" s="10" t="inlineStr">
        <is>
          <t>Ending Paid Subscribers</t>
        </is>
      </c>
      <c r="B4" s="21" t="n">
        <v>30</v>
      </c>
      <c r="C4" s="21" t="n">
        <v>128</v>
      </c>
      <c r="D4" s="21" t="n">
        <v>426</v>
      </c>
    </row>
    <row r="5">
      <c r="A5" t="inlineStr"/>
    </row>
    <row r="6">
      <c r="A6" s="10" t="inlineStr">
        <is>
          <t>Annual Gross Revenue</t>
        </is>
      </c>
      <c r="B6" s="11" t="n">
        <v>6251</v>
      </c>
      <c r="C6" s="11" t="n">
        <v>37212</v>
      </c>
      <c r="D6" s="11" t="n">
        <v>146850</v>
      </c>
    </row>
    <row r="7">
      <c r="A7" s="12" t="inlineStr">
        <is>
          <t>Payment Processing Fees</t>
        </is>
      </c>
      <c r="B7" s="44" t="n">
        <v>-485</v>
      </c>
      <c r="C7" s="44" t="n">
        <v>-2887</v>
      </c>
      <c r="D7" s="44" t="n">
        <v>-11394</v>
      </c>
    </row>
    <row r="8">
      <c r="A8" s="16" t="inlineStr">
        <is>
          <t>Annual Net Revenue</t>
        </is>
      </c>
      <c r="B8" s="18" t="n">
        <v>5766</v>
      </c>
      <c r="C8" s="18" t="n">
        <v>34325</v>
      </c>
      <c r="D8" s="18" t="n">
        <v>135456</v>
      </c>
    </row>
    <row r="9">
      <c r="A9" t="inlineStr"/>
    </row>
    <row r="10">
      <c r="A10" s="10" t="inlineStr">
        <is>
          <t>Data API Costs</t>
        </is>
      </c>
      <c r="B10" s="45" t="n">
        <v>-1111</v>
      </c>
      <c r="C10" s="45" t="n">
        <v>-2661</v>
      </c>
      <c r="D10" s="45" t="n">
        <v>-5188</v>
      </c>
    </row>
    <row r="11">
      <c r="A11" s="12" t="inlineStr">
        <is>
          <t>Infrastructure</t>
        </is>
      </c>
      <c r="B11" s="44" t="n">
        <v>-708</v>
      </c>
      <c r="C11" s="44" t="n">
        <v>-708</v>
      </c>
      <c r="D11" s="44" t="n">
        <v>-3228</v>
      </c>
    </row>
    <row r="12">
      <c r="A12" s="10" t="inlineStr">
        <is>
          <t>AI &amp; Variable</t>
        </is>
      </c>
      <c r="B12" s="45" t="n">
        <v>-16</v>
      </c>
      <c r="C12" s="45" t="n">
        <v>-91</v>
      </c>
      <c r="D12" s="45" t="n">
        <v>-377</v>
      </c>
    </row>
    <row r="13">
      <c r="A13" s="12" t="inlineStr">
        <is>
          <t>Fixed Overhead</t>
        </is>
      </c>
      <c r="B13" s="44" t="n">
        <v>-142</v>
      </c>
      <c r="C13" s="44" t="n">
        <v>-142</v>
      </c>
      <c r="D13" s="44" t="n">
        <v>-142</v>
      </c>
    </row>
    <row r="14">
      <c r="A14" s="16" t="inlineStr">
        <is>
          <t>Total Operating Costs</t>
        </is>
      </c>
      <c r="B14" s="46" t="n">
        <v>-1977</v>
      </c>
      <c r="C14" s="46" t="n">
        <v>-3602</v>
      </c>
      <c r="D14" s="46" t="n">
        <v>-8934</v>
      </c>
    </row>
    <row r="15">
      <c r="A15" t="inlineStr"/>
    </row>
    <row r="16">
      <c r="A16" s="16" t="inlineStr">
        <is>
          <t>Annual Operating Profit</t>
        </is>
      </c>
      <c r="B16" s="47" t="n">
        <v>3789</v>
      </c>
      <c r="C16" s="47" t="n">
        <v>30723</v>
      </c>
      <c r="D16" s="47" t="n">
        <v>126522</v>
      </c>
    </row>
    <row r="17">
      <c r="A17" s="12" t="inlineStr">
        <is>
          <t>Operating Margin</t>
        </is>
      </c>
      <c r="B17" s="14" t="n">
        <v>0.6571602488953016</v>
      </c>
      <c r="C17" s="14" t="n">
        <v>0.8950724142833503</v>
      </c>
      <c r="D17" s="14" t="n">
        <v>0.9340445338869187</v>
      </c>
    </row>
    <row r="18">
      <c r="A18" t="inlineStr"/>
    </row>
    <row r="19">
      <c r="A19" s="16" t="inlineStr">
        <is>
          <t>Monthly Avg Profit</t>
        </is>
      </c>
      <c r="B19" s="46" t="n">
        <v>316</v>
      </c>
      <c r="C19" s="46" t="n">
        <v>2560</v>
      </c>
      <c r="D19" s="46" t="n">
        <v>10544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F4444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4" customWidth="1" min="3" max="3"/>
    <col width="40" customWidth="1" min="4" max="4"/>
  </cols>
  <sheetData>
    <row r="1">
      <c r="A1" s="19" t="inlineStr">
        <is>
          <t>Key Risks &amp; Cost Optimization</t>
        </is>
      </c>
    </row>
    <row r="2"/>
    <row r="3">
      <c r="A3" s="8" t="inlineStr">
        <is>
          <t>KEY RISKS</t>
        </is>
      </c>
    </row>
    <row r="4">
      <c r="A4" s="9" t="inlineStr">
        <is>
          <t>Risk</t>
        </is>
      </c>
      <c r="B4" s="9" t="inlineStr">
        <is>
          <t>Impact</t>
        </is>
      </c>
      <c r="C4" s="9" t="inlineStr">
        <is>
          <t>Probability</t>
        </is>
      </c>
      <c r="D4" s="9" t="inlineStr">
        <is>
          <t>Mitigation</t>
        </is>
      </c>
    </row>
    <row r="5">
      <c r="A5" s="10" t="inlineStr">
        <is>
          <t>RentCast price increase</t>
        </is>
      </c>
      <c r="B5" s="48" t="inlineStr">
        <is>
          <t>High — 46% of costs @ 100 subs</t>
        </is>
      </c>
      <c r="C5" s="10" t="inlineStr">
        <is>
          <t>Medium</t>
        </is>
      </c>
      <c r="D5" s="10" t="inlineStr">
        <is>
          <t>Optimize caching; negotiate volume</t>
        </is>
      </c>
    </row>
    <row r="6">
      <c r="A6" s="12" t="inlineStr">
        <is>
          <t>AXESSO/Zillow API discontinued</t>
        </is>
      </c>
      <c r="B6" s="48" t="inlineStr">
        <is>
          <t>Critical — lose Zestimate</t>
        </is>
      </c>
      <c r="C6" s="12" t="inlineStr">
        <is>
          <t>Low</t>
        </is>
      </c>
      <c r="D6" s="12" t="inlineStr">
        <is>
          <t>Build fallback to direct Zillow API</t>
        </is>
      </c>
    </row>
    <row r="7">
      <c r="A7" s="10" t="inlineStr">
        <is>
          <t>RapidAPI plan changes</t>
        </is>
      </c>
      <c r="B7" s="27" t="inlineStr">
        <is>
          <t>Medium — lose Redfin/Realtor</t>
        </is>
      </c>
      <c r="C7" s="10" t="inlineStr">
        <is>
          <t>Low</t>
        </is>
      </c>
      <c r="D7" s="10" t="inlineStr">
        <is>
          <t>Evaluate direct API access</t>
        </is>
      </c>
    </row>
    <row r="8">
      <c r="A8" s="12" t="inlineStr">
        <is>
          <t>Apple rejects SBP (15%→30%)</t>
        </is>
      </c>
      <c r="B8" s="27" t="inlineStr">
        <is>
          <t>Medium — mobile margin drops</t>
        </is>
      </c>
      <c r="C8" s="12" t="inlineStr">
        <is>
          <t>Low</t>
        </is>
      </c>
      <c r="D8" s="12" t="inlineStr">
        <is>
          <t>Web-first acquisition strategy</t>
        </is>
      </c>
    </row>
    <row r="9">
      <c r="A9" s="10" t="inlineStr">
        <is>
          <t>Low annual conversion rate</t>
        </is>
      </c>
      <c r="B9" s="27" t="inlineStr">
        <is>
          <t>Medium — lower blended ARPU</t>
        </is>
      </c>
      <c r="C9" s="10" t="inlineStr">
        <is>
          <t>Medium</t>
        </is>
      </c>
      <c r="D9" s="10" t="inlineStr">
        <is>
          <t>Incentivize annual w/ deeper discount</t>
        </is>
      </c>
    </row>
    <row r="10">
      <c r="A10" s="12" t="inlineStr">
        <is>
          <t>High churn (&gt;10%/mo)</t>
        </is>
      </c>
      <c r="B10" s="48" t="inlineStr">
        <is>
          <t>High — never reach scale</t>
        </is>
      </c>
      <c r="C10" s="12" t="inlineStr">
        <is>
          <t>Medium</t>
        </is>
      </c>
      <c r="D10" s="12" t="inlineStr">
        <is>
          <t>Focus on retention, feature value</t>
        </is>
      </c>
    </row>
    <row r="11">
      <c r="A11" s="10" t="inlineStr">
        <is>
          <t>Free tier API abuse</t>
        </is>
      </c>
      <c r="B11" s="27" t="inlineStr">
        <is>
          <t>Medium — consumes paid quota</t>
        </is>
      </c>
      <c r="C11" s="10" t="inlineStr">
        <is>
          <t>Medium</t>
        </is>
      </c>
      <c r="D11" s="10" t="inlineStr">
        <is>
          <t>Enforce rate limits; reduce free cap</t>
        </is>
      </c>
    </row>
    <row r="12">
      <c r="A12" s="12" t="inlineStr">
        <is>
          <t>Competitor with free tier</t>
        </is>
      </c>
      <c r="B12" s="48" t="inlineStr">
        <is>
          <t>High — pricing pressure</t>
        </is>
      </c>
      <c r="C12" s="12" t="inlineStr">
        <is>
          <t>Medium</t>
        </is>
      </c>
      <c r="D12" s="12" t="inlineStr">
        <is>
          <t>Differentiate on IQ Estimate quality</t>
        </is>
      </c>
    </row>
    <row r="13"/>
    <row r="14">
      <c r="A14" s="8" t="inlineStr">
        <is>
          <t>COST OPTIMIZATION LEVERS</t>
        </is>
      </c>
    </row>
    <row r="15">
      <c r="A15" s="9" t="inlineStr">
        <is>
          <t>Optimization</t>
        </is>
      </c>
      <c r="B15" s="9" t="inlineStr">
        <is>
          <t>Est. Savings</t>
        </is>
      </c>
      <c r="C15" s="9" t="inlineStr">
        <is>
          <t>Effort</t>
        </is>
      </c>
      <c r="D15" s="9" t="inlineStr">
        <is>
          <t>Priority</t>
        </is>
      </c>
    </row>
    <row r="16">
      <c r="A16" s="10" t="inlineStr">
        <is>
          <t>Extend cache TTL 24h → 48-72h</t>
        </is>
      </c>
      <c r="B16" s="10" t="inlineStr">
        <is>
          <t>30–50% fewer API calls</t>
        </is>
      </c>
      <c r="C16" s="10" t="inlineStr">
        <is>
          <t>Low</t>
        </is>
      </c>
      <c r="D16" s="48" t="inlineStr">
        <is>
          <t>P0 — Immediate</t>
        </is>
      </c>
    </row>
    <row r="17">
      <c r="A17" s="12" t="inlineStr">
        <is>
          <t>Lazy-load Redfin/Realtor on drill-down</t>
        </is>
      </c>
      <c r="B17" s="12" t="inlineStr">
        <is>
          <t>~40% fewer RapidAPI calls</t>
        </is>
      </c>
      <c r="C17" s="12" t="inlineStr">
        <is>
          <t>Medium</t>
        </is>
      </c>
      <c r="D17" s="27" t="inlineStr">
        <is>
          <t>P1 — Next sprint</t>
        </is>
      </c>
    </row>
    <row r="18">
      <c r="A18" s="10" t="inlineStr">
        <is>
          <t>Annual billing incentives</t>
        </is>
      </c>
      <c r="B18" s="10" t="inlineStr">
        <is>
          <t>Better cash flow, lower churn</t>
        </is>
      </c>
      <c r="C18" s="10" t="inlineStr">
        <is>
          <t>Low</t>
        </is>
      </c>
      <c r="D18" s="27" t="inlineStr">
        <is>
          <t>P1</t>
        </is>
      </c>
    </row>
    <row r="19">
      <c r="A19" s="12" t="inlineStr">
        <is>
          <t>Batch RentCast calls where possible</t>
        </is>
      </c>
      <c r="B19" s="12" t="inlineStr">
        <is>
          <t>~10% fewer RentCast calls</t>
        </is>
      </c>
      <c r="C19" s="12" t="inlineStr">
        <is>
          <t>Medium</t>
        </is>
      </c>
      <c r="D19" s="49" t="inlineStr">
        <is>
          <t>P2</t>
        </is>
      </c>
    </row>
    <row r="20">
      <c r="A20" s="10" t="inlineStr">
        <is>
          <t>Negotiate enterprise pricing @ 500 subs</t>
        </is>
      </c>
      <c r="B20" s="10" t="inlineStr">
        <is>
          <t>10–30% cost reduction</t>
        </is>
      </c>
      <c r="C20" s="10" t="inlineStr">
        <is>
          <t>Low</t>
        </is>
      </c>
      <c r="D20" s="49" t="inlineStr">
        <is>
          <t>P2 — When applicable</t>
        </is>
      </c>
    </row>
    <row r="21">
      <c r="A21" s="12" t="inlineStr">
        <is>
          <t>Reduce free tier from 3 to 2 analyses</t>
        </is>
      </c>
      <c r="B21" s="12" t="inlineStr">
        <is>
          <t>~33% fewer free API calls</t>
        </is>
      </c>
      <c r="C21" s="12" t="inlineStr">
        <is>
          <t>Low</t>
        </is>
      </c>
      <c r="D21" s="12" t="inlineStr">
        <is>
          <t>P3 — If needed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2026-04-15T02:48:54Z</dcterms:created>
  <dcterms:modified xmlns:dcterms="http://purl.org/dc/terms/" xmlns:xsi="http://www.w3.org/2001/XMLSchema-instance" xsi:type="dcterms:W3CDTF">2026-04-15T02:48:54Z</dcterms:modified>
</cp:coreProperties>
</file>